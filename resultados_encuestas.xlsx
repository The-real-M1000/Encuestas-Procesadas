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ública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Avanzada" sheetId="3" state="visible" r:id="rId3"/>
  </sheets>
  <definedNames>
    <definedName name="_xlnm.Print_Area" localSheetId="0">'Pública'!$A$1:$N$50</definedName>
    <definedName name="_xlnm.Print_Titles" localSheetId="2">'Avanzada'!$4:$4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&quot;.° grado&quot;"/>
    <numFmt numFmtId="165" formatCode="0.0%"/>
    <numFmt numFmtId="166" formatCode="0.0"/>
    <numFmt numFmtId="167" formatCode="&quot;±&quot;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BD5E1"/>
      <sz val="10"/>
    </font>
    <font>
      <name val="Arial"/>
      <b val="1"/>
      <color rgb="00334155"/>
      <sz val="8"/>
    </font>
    <font>
      <name val="Arial"/>
      <b val="1"/>
      <color rgb="00FFFFFF"/>
      <sz val="9"/>
    </font>
    <font>
      <name val="Arial"/>
      <color rgb="001E293B"/>
      <sz val="10"/>
    </font>
    <font>
      <name val="Arial"/>
      <color rgb="0064748B"/>
      <sz val="9"/>
    </font>
    <font>
      <name val="Arial"/>
      <b val="1"/>
      <color rgb="00FFFFFF"/>
      <sz val="18"/>
    </font>
    <font>
      <name val="Arial"/>
      <b val="1"/>
      <color rgb="001E293B"/>
      <sz val="11"/>
    </font>
    <font>
      <name val="Arial"/>
      <b val="1"/>
      <color rgb="001E293B"/>
      <sz val="10"/>
    </font>
    <font>
      <name val="Arial"/>
      <i val="1"/>
      <color rgb="0064748B"/>
      <sz val="9"/>
    </font>
    <font>
      <name val="Arial"/>
      <color rgb="0064748B"/>
      <sz val="10"/>
    </font>
    <font>
      <name val="Arial"/>
      <b val="1"/>
      <color rgb="002F6B4F"/>
      <sz val="10"/>
    </font>
    <font>
      <name val="Arial"/>
      <b val="1"/>
      <color rgb="00FFFFFF"/>
      <sz val="28"/>
    </font>
    <font>
      <name val="Arial"/>
      <color rgb="0093C5FD"/>
      <sz val="13"/>
    </font>
    <font>
      <name val="Arial"/>
      <b val="1"/>
      <color rgb="00FFFFFF"/>
      <sz val="36"/>
    </font>
    <font>
      <name val="Arial"/>
      <color rgb="00FFFFFF"/>
      <sz val="11"/>
    </font>
    <font>
      <name val="Arial"/>
      <b val="1"/>
      <color rgb="000B1F3A"/>
      <sz val="15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CBD5E1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F1F5F9"/>
      </patternFill>
    </fill>
    <fill>
      <patternFill patternType="solid">
        <fgColor rgb="000B1F3A"/>
      </patternFill>
    </fill>
    <fill>
      <patternFill patternType="solid">
        <fgColor rgb="00F59E0B"/>
      </patternFill>
    </fill>
    <fill>
      <patternFill patternType="solid">
        <fgColor rgb="000D9488"/>
      </patternFill>
    </fill>
    <fill>
      <patternFill patternType="solid">
        <fgColor rgb="002563EB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FFFFFF"/>
      </left>
    </border>
    <border/>
    <border>
      <right style="medium">
        <color rgb="00FFFFFF"/>
      </right>
    </border>
    <border>
      <left style="medium">
        <color rgb="00FFFFFF"/>
      </left>
      <right style="medium">
        <color rgb="00FFFFFF"/>
      </right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left style="thick">
        <color rgb="00FFFFFF"/>
      </left>
    </border>
    <border>
      <right style="thick">
        <color rgb="00FFFFFF"/>
      </right>
    </border>
    <border>
      <bottom style="medium">
        <color rgb="00F59E0B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7" borderId="0" pivotButton="0" quotePrefix="0" xfId="0"/>
    <xf numFmtId="0" fontId="13" fillId="7" borderId="0" applyAlignment="1" pivotButton="0" quotePrefix="0" xfId="0">
      <alignment vertical="center"/>
    </xf>
    <xf numFmtId="0" fontId="14" fillId="7" borderId="0" applyAlignment="1" pivotButton="0" quotePrefix="0" xfId="0">
      <alignment vertical="center"/>
    </xf>
    <xf numFmtId="0" fontId="0" fillId="8" borderId="0" pivotButton="0" quotePrefix="0" xfId="0"/>
    <xf numFmtId="1" fontId="15" fillId="7" borderId="7" applyAlignment="1" pivotButton="0" quotePrefix="0" xfId="0">
      <alignment horizontal="center" vertical="bottom"/>
    </xf>
    <xf numFmtId="0" fontId="0" fillId="7" borderId="2" pivotButton="0" quotePrefix="0" xfId="0"/>
    <xf numFmtId="0" fontId="0" fillId="7" borderId="8" pivotButton="0" quotePrefix="0" xfId="0"/>
    <xf numFmtId="9" fontId="15" fillId="9" borderId="7" applyAlignment="1" pivotButton="0" quotePrefix="0" xfId="0">
      <alignment horizontal="center" vertical="bottom"/>
    </xf>
    <xf numFmtId="0" fontId="0" fillId="9" borderId="2" pivotButton="0" quotePrefix="0" xfId="0"/>
    <xf numFmtId="0" fontId="0" fillId="9" borderId="8" pivotButton="0" quotePrefix="0" xfId="0"/>
    <xf numFmtId="9" fontId="15" fillId="10" borderId="7" applyAlignment="1" pivotButton="0" quotePrefix="0" xfId="0">
      <alignment horizontal="center" vertical="bottom"/>
    </xf>
    <xf numFmtId="0" fontId="0" fillId="10" borderId="2" pivotButton="0" quotePrefix="0" xfId="0"/>
    <xf numFmtId="0" fontId="0" fillId="10" borderId="8" pivotButton="0" quotePrefix="0" xfId="0"/>
    <xf numFmtId="9" fontId="15" fillId="11" borderId="7" applyAlignment="1" pivotButton="0" quotePrefix="0" xfId="0">
      <alignment horizontal="center" vertical="bottom"/>
    </xf>
    <xf numFmtId="0" fontId="0" fillId="11" borderId="2" pivotButton="0" quotePrefix="0" xfId="0"/>
    <xf numFmtId="0" fontId="0" fillId="11" borderId="8" pivotButton="0" quotePrefix="0" xfId="0"/>
    <xf numFmtId="0" fontId="16" fillId="7" borderId="7" applyAlignment="1" pivotButton="0" quotePrefix="0" xfId="0">
      <alignment horizontal="center" vertical="top" wrapText="1"/>
    </xf>
    <xf numFmtId="0" fontId="16" fillId="9" borderId="7" applyAlignment="1" pivotButton="0" quotePrefix="0" xfId="0">
      <alignment horizontal="center" vertical="top" wrapText="1"/>
    </xf>
    <xf numFmtId="0" fontId="16" fillId="10" borderId="7" applyAlignment="1" pivotButton="0" quotePrefix="0" xfId="0">
      <alignment horizontal="center" vertical="top" wrapText="1"/>
    </xf>
    <xf numFmtId="0" fontId="16" fillId="11" borderId="7" applyAlignment="1" pivotButton="0" quotePrefix="0" xfId="0">
      <alignment horizontal="center" vertical="top" wrapText="1"/>
    </xf>
    <xf numFmtId="0" fontId="17" fillId="0" borderId="9" applyAlignment="1" pivotButton="0" quotePrefix="0" xfId="0">
      <alignment vertical="center" wrapText="1"/>
    </xf>
    <xf numFmtId="0" fontId="0" fillId="0" borderId="9" pivotButton="0" quotePrefix="0" xfId="0"/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0" fillId="2" borderId="0" pivotButton="0" quotePrefix="0" xfId="0"/>
    <xf numFmtId="0" fontId="7" fillId="2" borderId="0" pivotButton="0" quotePrefix="0" xfId="0"/>
    <xf numFmtId="0" fontId="2" fillId="2" borderId="0" pivotButton="0" quotePrefix="0" xfId="0"/>
    <xf numFmtId="0" fontId="6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left" vertical="center"/>
    </xf>
    <xf numFmtId="1" fontId="5" fillId="0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left" vertical="center"/>
    </xf>
    <xf numFmtId="1" fontId="9" fillId="6" borderId="5" applyAlignment="1" pivotButton="0" quotePrefix="0" xfId="0">
      <alignment horizontal="center" vertical="center"/>
    </xf>
    <xf numFmtId="165" fontId="9" fillId="6" borderId="5" applyAlignment="1" pivotButton="0" quotePrefix="0" xfId="0">
      <alignment horizontal="center" vertical="center"/>
    </xf>
    <xf numFmtId="0" fontId="10" fillId="0" borderId="0" pivotButton="0" quotePrefix="0" xfId="0"/>
    <xf numFmtId="0" fontId="5" fillId="0" borderId="5" applyAlignment="1" pivotButton="0" quotePrefix="0" xfId="0">
      <alignment horizontal="left" vertical="center"/>
    </xf>
    <xf numFmtId="1" fontId="9" fillId="0" borderId="5" applyAlignment="1" pivotButton="0" quotePrefix="0" xfId="0">
      <alignment horizontal="center" vertical="center"/>
    </xf>
    <xf numFmtId="165" fontId="9" fillId="0" borderId="5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167" fontId="5" fillId="0" borderId="5" applyAlignment="1" pivotButton="0" quotePrefix="0" xfId="0">
      <alignment horizontal="center" vertical="center"/>
    </xf>
    <xf numFmtId="2" fontId="9" fillId="6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/>
    </xf>
    <xf numFmtId="1" fontId="11" fillId="0" borderId="5" applyAlignment="1" pivotButton="0" quotePrefix="0" xfId="0">
      <alignment horizontal="center" vertical="center"/>
    </xf>
    <xf numFmtId="165" fontId="11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12" fillId="0" borderId="5" applyAlignment="1" pivotButton="0" quotePrefix="0" xfId="0">
      <alignment horizontal="center" vertical="center"/>
    </xf>
    <xf numFmtId="0" fontId="1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3" fillId="3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Arial"/>
        <b val="1"/>
        <color rgb="00A8604F"/>
      </font>
    </dxf>
    <dxf>
      <font>
        <name val="Arial"/>
        <b val="1"/>
        <color rgb="001D4E89"/>
      </font>
      <fill>
        <patternFill patternType="solid">
          <fgColor rgb="00DBEAFE"/>
        </patternFill>
      </fill>
    </dxf>
    <dxf>
      <font>
        <name val="Arial"/>
        <color rgb="00A8B3C2"/>
      </font>
    </dxf>
    <dxf>
      <font>
        <name val="Arial"/>
        <b val="1"/>
        <color rgb="0092400E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roundedCorners val="0"/>
  <style val="2"/>
  <chart>
    <autoTitleDeleted val="1"/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CBD5E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3"/>
            <spPr>
              <a:solidFill xmlns:a="http://schemas.openxmlformats.org/drawingml/2006/main">
                <a:srgbClr val="0D9488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F766E"/>
              </a:solidFill>
              <a:ln xmlns:a="http://schemas.openxmlformats.org/drawingml/2006/main">
                <a:prstDash val="solid"/>
              </a:ln>
            </spPr>
          </dPt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0B1F3A"/>
                    </a:solidFill>
                    <a:latin typeface="Arial"/>
                  </a:defRPr>
                </a:pPr>
                <a:r>
                  <a:t/>
                </a:r>
                <a:endParaRPr sz="1200" b="1">
                  <a:solidFill>
                    <a:srgbClr val="0B1F3A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'General'!$C$34:$G$34</f>
            </strRef>
          </cat>
          <val>
            <numRef>
              <f>'General'!$C$35:$G$35</f>
            </numRef>
          </val>
        </ser>
        <gapWidth val="3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334155"/>
                </a:solidFill>
                <a:latin typeface="Arial"/>
              </a:defRPr>
            </a:pPr>
            <a:r>
              <a:t/>
            </a:r>
            <a:endParaRPr sz="1200" b="1">
              <a:solidFill>
                <a:srgbClr val="33415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0.5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style val="2"/>
  <chart>
    <autoTitleDeleted val="1"/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0B1F3A"/>
                    </a:solidFill>
                    <a:latin typeface="Arial"/>
                  </a:defRPr>
                </a:pPr>
                <a:r>
                  <a:t/>
                </a:r>
                <a:endParaRPr sz="1200" b="1">
                  <a:solidFill>
                    <a:srgbClr val="0B1F3A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'General'!$B$99:$B$104</f>
            </strRef>
          </cat>
          <val>
            <numRef>
              <f>'General'!$D$99:$D$104</f>
            </numRef>
          </val>
        </ser>
        <gapWidth val="3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5"/>
                </a:solidFill>
                <a:latin typeface="Arial"/>
              </a:defRPr>
            </a:pPr>
            <a:r>
              <a:t/>
            </a:r>
            <a:endParaRPr sz="1100" b="1">
              <a:solidFill>
                <a:srgbClr val="33415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0.6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style val="2"/>
  <chart>
    <autoTitleDeleted val="1"/>
    <plotArea>
      <barChart>
        <barDir val="bar"/>
        <grouping val="percentStacked"/>
        <ser>
          <idx val="0"/>
          <order val="0"/>
          <tx>
            <v>En desacuerdo</v>
          </tx>
          <spPr>
            <a:solidFill xmlns:a="http://schemas.openxmlformats.org/drawingml/2006/main">
              <a:srgbClr val="EF476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'General'!$B$53:$B$56</f>
            </strRef>
          </cat>
          <val>
            <numRef>
              <f>'General'!$C$53:$C$56</f>
            </numRef>
          </val>
        </ser>
        <ser>
          <idx val="1"/>
          <order val="1"/>
          <tx>
            <v>Neutral</v>
          </tx>
          <spPr>
            <a:solidFill xmlns:a="http://schemas.openxmlformats.org/drawingml/2006/main">
              <a:srgbClr val="E2E8F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334155"/>
                    </a:solidFill>
                    <a:latin typeface="Arial"/>
                  </a:defRPr>
                </a:pPr>
                <a:r>
                  <a:t/>
                </a:r>
                <a:endParaRPr sz="1200" b="1">
                  <a:solidFill>
                    <a:srgbClr val="334155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'General'!$B$53:$B$56</f>
            </strRef>
          </cat>
          <val>
            <numRef>
              <f>'General'!$D$53:$D$56</f>
            </numRef>
          </val>
        </ser>
        <ser>
          <idx val="2"/>
          <order val="2"/>
          <tx>
            <v>De acuerdo</v>
          </tx>
          <spPr>
            <a:solidFill xmlns:a="http://schemas.openxmlformats.org/drawingml/2006/main">
              <a:srgbClr val="0D9488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'General'!$B$53:$B$56</f>
            </strRef>
          </cat>
          <val>
            <numRef>
              <f>'General'!$E$53:$E$56</f>
            </numRef>
          </val>
        </ser>
        <gapWidth val="3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5"/>
                </a:solidFill>
                <a:latin typeface="Arial"/>
              </a:defRPr>
            </a:pPr>
            <a:r>
              <a:t/>
            </a:r>
            <a:endParaRPr sz="1100" b="1">
              <a:solidFill>
                <a:srgbClr val="33415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334155"/>
              </a:solidFill>
              <a:latin typeface="Arial"/>
            </a:defRPr>
          </a:pPr>
          <a:r>
            <a:t/>
          </a:r>
          <a:endParaRPr sz="1000" b="0">
            <a:solidFill>
              <a:srgbClr val="334155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style val="2"/>
  <chart>
    <autoTitleDeleted val="1"/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F6C8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334155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334155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'General'!$B$11:$B$16</f>
            </strRef>
          </cat>
          <val>
            <numRef>
              <f>'General'!$C$11:$C$16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style val="2"/>
  <chart>
    <autoTitleDeleted val="1"/>
    <plotArea>
      <barChart>
        <barDir val="bar"/>
        <grouping val="percentStacked"/>
        <ser>
          <idx val="0"/>
          <order val="0"/>
          <tx>
            <strRef>
              <f>'General'!$C$34</f>
            </strRef>
          </tx>
          <spPr>
            <a:solidFill xmlns:a="http://schemas.openxmlformats.org/drawingml/2006/main">
              <a:srgbClr val="A8604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'General'!$B$35:$B$39</f>
            </strRef>
          </cat>
          <val>
            <numRef>
              <f>'General'!$C$35:$C$39</f>
            </numRef>
          </val>
        </ser>
        <ser>
          <idx val="1"/>
          <order val="1"/>
          <tx>
            <strRef>
              <f>'General'!$D$34</f>
            </strRef>
          </tx>
          <spPr>
            <a:solidFill xmlns:a="http://schemas.openxmlformats.org/drawingml/2006/main">
              <a:srgbClr val="D3A89C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334155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334155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'General'!$B$35:$B$39</f>
            </strRef>
          </cat>
          <val>
            <numRef>
              <f>'General'!$D$35:$D$39</f>
            </numRef>
          </val>
        </ser>
        <ser>
          <idx val="2"/>
          <order val="2"/>
          <tx>
            <strRef>
              <f>'General'!$E$34</f>
            </strRef>
          </tx>
          <spPr>
            <a:solidFill xmlns:a="http://schemas.openxmlformats.org/drawingml/2006/main">
              <a:srgbClr val="D5DAE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334155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334155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'General'!$B$35:$B$39</f>
            </strRef>
          </cat>
          <val>
            <numRef>
              <f>'General'!$E$35:$E$39</f>
            </numRef>
          </val>
        </ser>
        <ser>
          <idx val="3"/>
          <order val="3"/>
          <tx>
            <strRef>
              <f>'General'!$F$34</f>
            </strRef>
          </tx>
          <spPr>
            <a:solidFill xmlns:a="http://schemas.openxmlformats.org/drawingml/2006/main">
              <a:srgbClr val="9DB7C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334155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334155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'General'!$B$35:$B$39</f>
            </strRef>
          </cat>
          <val>
            <numRef>
              <f>'General'!$F$35:$F$39</f>
            </numRef>
          </val>
        </ser>
        <ser>
          <idx val="4"/>
          <order val="4"/>
          <tx>
            <strRef>
              <f>'General'!$G$34</f>
            </strRef>
          </tx>
          <spPr>
            <a:solidFill xmlns:a="http://schemas.openxmlformats.org/drawingml/2006/main">
              <a:srgbClr val="3F6C8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'General'!$B$35:$B$39</f>
            </strRef>
          </cat>
          <val>
            <numRef>
              <f>'General'!$G$35:$G$39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75569"/>
              </a:solidFill>
              <a:latin typeface="Arial"/>
            </a:defRPr>
          </a:pPr>
          <a:r>
            <a:t/>
          </a:r>
          <a:endParaRPr sz="900" b="0">
            <a:solidFill>
              <a:srgbClr val="475569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style val="2"/>
  <chart>
    <autoTitleDeleted val="1"/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3F6C8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errBars>
            <errBarType val="both"/>
            <errValType val="cust"/>
            <noEndCap val="0"/>
            <minus>
              <numRef>
                <f>'General'!$I$45:$I$49</f>
              </numRef>
            </minus>
            <plus>
              <numRef>
                <f>'General'!$I$45:$I$49</f>
              </numRef>
            </plus>
            <spPr>
              <a:ln xmlns:a="http://schemas.openxmlformats.org/drawingml/2006/main" w="12700">
                <a:solidFill>
                  <a:srgbClr val="64748B"/>
                </a:solidFill>
                <a:prstDash val="solid"/>
              </a:ln>
            </spPr>
          </errBars>
          <cat>
            <strRef>
              <f>'General'!$B$45:$B$49</f>
            </strRef>
          </cat>
          <val>
            <numRef>
              <f>'General'!$H$45:$H$49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style val="2"/>
  <chart>
    <autoTitleDeleted val="1"/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9DB7CE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6"/>
            <spPr>
              <a:solidFill xmlns:a="http://schemas.openxmlformats.org/drawingml/2006/main">
                <a:srgbClr val="3F6C8F"/>
              </a:solidFill>
              <a:ln xmlns:a="http://schemas.openxmlformats.org/drawingml/2006/main">
                <a:prstDash val="solid"/>
              </a:ln>
            </spPr>
          </dPt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334155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334155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'General'!$B$71:$B$77</f>
            </strRef>
          </cat>
          <val>
            <numRef>
              <f>'General'!$D$71:$D$77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roundedCorners val="0"/>
  <style val="2"/>
  <chart>
    <autoTitleDeleted val="1"/>
    <plotArea>
      <barChart>
        <barDir val="bar"/>
        <grouping val="percentStacked"/>
        <ser>
          <idx val="0"/>
          <order val="0"/>
          <tx>
            <strRef>
              <f>'General'!$F$81</f>
            </strRef>
          </tx>
          <spPr>
            <a:solidFill xmlns:a="http://schemas.openxmlformats.org/drawingml/2006/main">
              <a:srgbClr val="3F6C8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'General'!$B$82:$B$88</f>
            </strRef>
          </cat>
          <val>
            <numRef>
              <f>'General'!$F$82:$F$88</f>
            </numRef>
          </val>
        </ser>
        <ser>
          <idx val="1"/>
          <order val="1"/>
          <tx>
            <strRef>
              <f>'General'!$G$81</f>
            </strRef>
          </tx>
          <spPr>
            <a:solidFill xmlns:a="http://schemas.openxmlformats.org/drawingml/2006/main">
              <a:srgbClr val="D5DAE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334155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334155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'General'!$B$82:$B$88</f>
            </strRef>
          </cat>
          <val>
            <numRef>
              <f>'General'!$G$82:$G$88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75569"/>
              </a:solidFill>
              <a:latin typeface="Arial"/>
            </a:defRPr>
          </a:pPr>
          <a:r>
            <a:t/>
          </a:r>
          <a:endParaRPr sz="900" b="0">
            <a:solidFill>
              <a:srgbClr val="475569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roundedCorners val="0"/>
  <style val="2"/>
  <chart>
    <autoTitleDeleted val="1"/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3F6C8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334155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334155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'General'!$B$99:$B$104</f>
            </strRef>
          </cat>
          <val>
            <numRef>
              <f>'General'!$D$99:$D$104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0.6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968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4968000" cy="302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10080000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9</row>
      <rowOff>0</rowOff>
    </from>
    <ext cx="61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26</row>
      <rowOff>0</rowOff>
    </from>
    <ext cx="6120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43</row>
      <rowOff>0</rowOff>
    </from>
    <ext cx="6120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60</row>
      <rowOff>0</rowOff>
    </from>
    <ext cx="6120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80</row>
      <rowOff>0</rowOff>
    </from>
    <ext cx="6120000" cy="273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97</row>
      <rowOff>0</rowOff>
    </from>
    <ext cx="6120000" cy="273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puestas" displayName="Respuestas" ref="A4:U108" headerRowCount="1">
  <autoFilter ref="A4:U108"/>
  <tableColumns count="21">
    <tableColumn id="1" name="N.º encuesta"/>
    <tableColumn id="2" name="Archivo"/>
    <tableColumn id="3" name="Grado"/>
    <tableColumn id="4" name="P2 Disposición a votar"/>
    <tableColumn id="5" name="P3 Escuchado por su representante"/>
    <tableColumn id="6" name="P4 Escuchado por la institución"/>
    <tableColumn id="7" name="P5 Facilidad para dar sugerencias"/>
    <tableColumn id="8" name="P6 Satisfacción con actividades"/>
    <tableColumn id="9" name="P7 ¿Espacio adecuado?"/>
    <tableColumn id="10" name="P8 Respuesta abierta (texto)"/>
    <tableColumn id="11" name="P9 Respuesta abierta (texto)"/>
    <tableColumn id="12" name="Académico"/>
    <tableColumn id="13" name="Social / Cultural"/>
    <tableColumn id="14" name="Infraestructura"/>
    <tableColumn id="15" name="Ambiental"/>
    <tableColumn id="16" name="Salud mental"/>
    <tableColumn id="17" name="Convivencial"/>
    <tableColumn id="18" name="P8 respondida"/>
    <tableColumn id="19" name="P9 respondida"/>
    <tableColumn id="20" name="Estado de captura"/>
    <tableColumn id="21" name="Observaciones de captura (OCR)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N50"/>
  <sheetViews>
    <sheetView showGridLines="0" workbookViewId="0">
      <selection activeCell="A1" sqref="A1"/>
    </sheetView>
  </sheetViews>
  <sheetFormatPr baseColWidth="8" defaultRowHeight="15" customHeight="1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" customWidth="1" min="14" max="1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6" customHeight="1">
      <c r="A2" s="1" t="n"/>
      <c r="B2" s="2" t="inlineStr">
        <is>
          <t>Lo que dicen los estudiantes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6" customHeight="1">
      <c r="A3" s="1" t="n"/>
      <c r="B3" s="3" t="str">
        <f>"Encuesta de personería estudiantil · "&amp;COUNTA(Avanzada!$A$5:$A$108)&amp;" estudiantes de "&amp;MIN(Avanzada!$C$5:$C$108)&amp;".° a "&amp;MAX(Avanzada!$C$5:$C$108)&amp;".° grado"</f>
        <v>Encuesta de personería estudiantil · 104 estudiantes de 6.° a 11.° grado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 ht="14" customHeight="1"/>
    <row r="7" ht="56" customHeight="1">
      <c r="B7" s="5">
        <f>COUNTA(Avanzada!$A$5:$A$108)</f>
        <v>104</v>
      </c>
      <c r="C7" s="6" t="n"/>
      <c r="D7" s="7" t="n"/>
      <c r="E7" s="8">
        <f>General!H45</f>
        <v>0.663461538461538</v>
      </c>
      <c r="F7" s="9" t="n"/>
      <c r="G7" s="10" t="n"/>
      <c r="H7" s="11">
        <f>General!C109/(General!C109+General!D109)</f>
        <v>0.932692307692308</v>
      </c>
      <c r="I7" s="12" t="n"/>
      <c r="J7" s="13" t="n"/>
      <c r="K7" s="14">
        <f>General!D99</f>
        <v>0.451923076923077</v>
      </c>
      <c r="L7" s="15" t="n"/>
      <c r="M7" s="16" t="n"/>
    </row>
    <row r="8" ht="36" customHeight="1">
      <c r="B8" s="17" t="inlineStr">
        <is>
          <t>estudiantes encuestados</t>
        </is>
      </c>
      <c r="C8" s="6" t="n"/>
      <c r="D8" s="7" t="n"/>
      <c r="E8" s="18" t="inlineStr">
        <is>
          <t>se muestra dispuesto a votar</t>
        </is>
      </c>
      <c r="F8" s="9" t="n"/>
      <c r="G8" s="10" t="n"/>
      <c r="H8" s="19" t="inlineStr">
        <is>
          <t>respondió la pregunta abierta P8</t>
        </is>
      </c>
      <c r="I8" s="12" t="n"/>
      <c r="J8" s="13" t="n"/>
      <c r="K8" s="20" t="inlineStr">
        <is>
          <t>propone temas sociales y culturales</t>
        </is>
      </c>
      <c r="L8" s="15" t="n"/>
      <c r="M8" s="16" t="n"/>
    </row>
    <row r="9" ht="16" customHeight="1"/>
    <row r="10" ht="34" customHeight="1">
      <c r="B10" s="21" t="str">
        <f>ROUND(General!H45*100,0)&amp;"% está dispuesto a votar"</f>
        <v>66% está dispuesto a votar</v>
      </c>
      <c r="C10" s="22" t="n"/>
      <c r="D10" s="22" t="n"/>
      <c r="E10" s="22" t="n"/>
      <c r="F10" s="22" t="n"/>
      <c r="G10" s="22" t="n"/>
      <c r="H10" s="21" t="inlineStr">
        <is>
          <t>Las propuestas de los estudiantes</t>
        </is>
      </c>
      <c r="I10" s="22" t="n"/>
      <c r="J10" s="22" t="n"/>
      <c r="K10" s="22" t="n"/>
      <c r="L10" s="22" t="n"/>
      <c r="M10" s="22" t="n"/>
    </row>
    <row r="11" ht="18" customHeight="1">
      <c r="B11" s="23" t="inlineStr">
        <is>
          <t>Respuestas a P2 (escala 1 a 5) · % de los encuestados</t>
        </is>
      </c>
      <c r="H11" s="23" t="inlineStr">
        <is>
          <t>Temas mencionados · % de estudiantes (pueden mencionar varios)</t>
        </is>
      </c>
    </row>
    <row r="28" ht="12" customHeight="1"/>
    <row r="29" ht="34" customHeight="1">
      <c r="B29" s="21" t="str">
        <f>"Hay una brecha de escucha: solo "&amp;ROUND(General!E53*100,0)&amp;"% siente que su representante lo escucha"</f>
        <v>Hay una brecha de escucha: solo 33% siente que su representante lo escucha</v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</row>
    <row r="30" ht="18" customHeight="1">
      <c r="B30" s="23" t="inlineStr">
        <is>
          <t>Opinión sobre 4 aspectos de la vida estudiantil · % de los encuestados · en desacuerdo = 1–2 · neutral = 3 · de acuerdo = 4–5</t>
        </is>
      </c>
    </row>
    <row r="49">
      <c r="B49" s="24" t="str">
        <f>"Fuente: encuesta aplicada a "&amp;COUNTA(Avanzada!$A$5:$A$108)&amp;" estudiantes. Porcentajes sobre el total de encuestados; las cifras describen a quienes respondieron. Detalle completo y verificable en las hojas General y Avanzada."</f>
        <v>Fuente: encuesta aplicada a 104 estudiantes. Porcentajes sobre el total de encuestados; las cifras describen a quienes respondieron. Detalle completo y verificable en las hojas General y Avanzada.</v>
      </c>
    </row>
    <row r="50"/>
  </sheetData>
  <mergeCells count="15">
    <mergeCell ref="K8:M8"/>
    <mergeCell ref="B10:G10"/>
    <mergeCell ref="H10:M10"/>
    <mergeCell ref="B8:D8"/>
    <mergeCell ref="E8:G8"/>
    <mergeCell ref="B29:M29"/>
    <mergeCell ref="H8:J8"/>
    <mergeCell ref="B49:M50"/>
    <mergeCell ref="H11:M11"/>
    <mergeCell ref="B7:D7"/>
    <mergeCell ref="B30:M30"/>
    <mergeCell ref="E7:G7"/>
    <mergeCell ref="K7:M7"/>
    <mergeCell ref="H7:J7"/>
    <mergeCell ref="B11:G11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2:R128"/>
  <sheetViews>
    <sheetView showGridLines="0" workbookViewId="0">
      <selection activeCell="A1" sqref="A1"/>
    </sheetView>
  </sheetViews>
  <sheetFormatPr baseColWidth="8" defaultRowHeight="15" customHeight="1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2" ht="32" customHeight="1">
      <c r="A2" s="25" t="n"/>
      <c r="B2" s="26" t="inlineStr">
        <is>
          <t>Resultados de la encuesta · Personería estudiantil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</row>
    <row r="3" ht="20" customHeight="1">
      <c r="A3" s="25" t="n"/>
      <c r="B3" s="27" t="str">
        <f>"Análisis general · "&amp;COUNTA(Avanzada!$A$5:$A$108)&amp;" estudiantes encuestados de "&amp;MIN(Avanzada!$C$5:$C$108)&amp;".° a "&amp;MAX(Avanzada!$C$5:$C$108)&amp;".° grado"</f>
        <v>Análisis general · 104 estudiantes encuestados de 6.° a 11.° grado</v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5">
      <c r="B5" s="28" t="inlineStr">
        <is>
          <t>• Escala P2 a P6: 1 a 5. «De acuerdo» = respuestas 4 y 5 · «Neutral» = 3 · «En desacuerdo» = 1 y 2.</t>
        </is>
      </c>
    </row>
    <row r="6">
      <c r="B6" s="28" t="inlineStr">
        <is>
          <t>• Porcentajes calculados sobre el total de encuestados. ± = margen de error al 95 % (supone muestra aleatoria simple).</t>
        </is>
      </c>
    </row>
    <row r="7">
      <c r="B7" s="28" t="inlineStr">
        <is>
          <t>• Todas las cifras son fórmulas calculadas desde la hoja Avanzada, que contiene las respuestas individuales.</t>
        </is>
      </c>
    </row>
    <row r="9" ht="22" customHeight="1">
      <c r="B9" s="29" t="inlineStr">
        <is>
          <t>1  Participación por grado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</row>
    <row r="10" ht="30" customHeight="1">
      <c r="B10" s="31" t="inlineStr">
        <is>
          <t>Grado</t>
        </is>
      </c>
      <c r="C10" s="32" t="inlineStr">
        <is>
          <t>Encuestas</t>
        </is>
      </c>
      <c r="D10" s="32" t="inlineStr">
        <is>
          <t>% del total</t>
        </is>
      </c>
    </row>
    <row r="11">
      <c r="B11" s="33" t="n">
        <v>6</v>
      </c>
      <c r="C11" s="34">
        <f>COUNTIF(Avanzada!$C$5:$C$108,B11)</f>
        <v>9</v>
      </c>
      <c r="D11" s="35">
        <f>C11/C$17</f>
        <v>0.0865384615384615</v>
      </c>
    </row>
    <row r="12">
      <c r="B12" s="33" t="n">
        <v>7</v>
      </c>
      <c r="C12" s="34">
        <f>COUNTIF(Avanzada!$C$5:$C$108,B12)</f>
        <v>10</v>
      </c>
      <c r="D12" s="35">
        <f>C12/C$17</f>
        <v>0.0961538461538462</v>
      </c>
    </row>
    <row r="13">
      <c r="B13" s="33" t="n">
        <v>8</v>
      </c>
      <c r="C13" s="34">
        <f>COUNTIF(Avanzada!$C$5:$C$108,B13)</f>
        <v>23</v>
      </c>
      <c r="D13" s="35">
        <f>C13/C$17</f>
        <v>0.221153846153846</v>
      </c>
    </row>
    <row r="14">
      <c r="B14" s="33" t="n">
        <v>9</v>
      </c>
      <c r="C14" s="34">
        <f>COUNTIF(Avanzada!$C$5:$C$108,B14)</f>
        <v>27</v>
      </c>
      <c r="D14" s="35">
        <f>C14/C$17</f>
        <v>0.259615384615385</v>
      </c>
    </row>
    <row r="15">
      <c r="B15" s="33" t="n">
        <v>10</v>
      </c>
      <c r="C15" s="34">
        <f>COUNTIF(Avanzada!$C$5:$C$108,B15)</f>
        <v>18</v>
      </c>
      <c r="D15" s="35">
        <f>C15/C$17</f>
        <v>0.173076923076923</v>
      </c>
    </row>
    <row r="16">
      <c r="B16" s="33" t="n">
        <v>11</v>
      </c>
      <c r="C16" s="34">
        <f>COUNTIF(Avanzada!$C$5:$C$108,B16)</f>
        <v>17</v>
      </c>
      <c r="D16" s="35">
        <f>C16/C$17</f>
        <v>0.163461538461538</v>
      </c>
    </row>
    <row r="17">
      <c r="B17" s="36" t="inlineStr">
        <is>
          <t>Total</t>
        </is>
      </c>
      <c r="C17" s="37">
        <f>SUM(C11:C16)</f>
        <v>104</v>
      </c>
      <c r="D17" s="38">
        <f>SUM(D11:D16)</f>
        <v>1</v>
      </c>
    </row>
    <row r="19">
      <c r="B19" s="39" t="inlineStr">
        <is>
          <t>En rojo: grados con menos de 15 respuestas. Interpretar sus resultados con cautela.</t>
        </is>
      </c>
    </row>
    <row r="26" ht="22" customHeight="1">
      <c r="B26" s="29" t="inlineStr">
        <is>
          <t>2  Distribución de respuestas (P2 a P6)</t>
        </is>
      </c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</row>
    <row r="27" ht="30" customHeight="1">
      <c r="B27" s="31" t="inlineStr">
        <is>
          <t>Cantidad de respuestas</t>
        </is>
      </c>
      <c r="C27" s="32" t="inlineStr">
        <is>
          <t>1</t>
        </is>
      </c>
      <c r="D27" s="32" t="inlineStr">
        <is>
          <t>2</t>
        </is>
      </c>
      <c r="E27" s="32" t="inlineStr">
        <is>
          <t>3</t>
        </is>
      </c>
      <c r="F27" s="32" t="inlineStr">
        <is>
          <t>4</t>
        </is>
      </c>
      <c r="G27" s="32" t="inlineStr">
        <is>
          <t>5</t>
        </is>
      </c>
      <c r="H27" s="32" t="inlineStr">
        <is>
          <t>Total</t>
        </is>
      </c>
    </row>
    <row r="28">
      <c r="B28" s="40" t="inlineStr">
        <is>
          <t>P2 · Disposición a votar</t>
        </is>
      </c>
      <c r="C28" s="34">
        <f>COUNTIF(Avanzada!$D$5:$D$108,1)</f>
        <v>9</v>
      </c>
      <c r="D28" s="34">
        <f>COUNTIF(Avanzada!$D$5:$D$108,2)</f>
        <v>9</v>
      </c>
      <c r="E28" s="34">
        <f>COUNTIF(Avanzada!$D$5:$D$108,3)</f>
        <v>17</v>
      </c>
      <c r="F28" s="34">
        <f>COUNTIF(Avanzada!$D$5:$D$108,4)</f>
        <v>40</v>
      </c>
      <c r="G28" s="34">
        <f>COUNTIF(Avanzada!$D$5:$D$108,5)</f>
        <v>29</v>
      </c>
      <c r="H28" s="41">
        <f>SUM(C28:G28)</f>
        <v>104</v>
      </c>
    </row>
    <row r="29">
      <c r="B29" s="40" t="inlineStr">
        <is>
          <t>P3 · Escuchado por su representante</t>
        </is>
      </c>
      <c r="C29" s="34">
        <f>COUNTIF(Avanzada!$E$5:$E$108,1)</f>
        <v>30</v>
      </c>
      <c r="D29" s="34">
        <f>COUNTIF(Avanzada!$E$5:$E$108,2)</f>
        <v>21</v>
      </c>
      <c r="E29" s="34">
        <f>COUNTIF(Avanzada!$E$5:$E$108,3)</f>
        <v>19</v>
      </c>
      <c r="F29" s="34">
        <f>COUNTIF(Avanzada!$E$5:$E$108,4)</f>
        <v>22</v>
      </c>
      <c r="G29" s="34">
        <f>COUNTIF(Avanzada!$E$5:$E$108,5)</f>
        <v>12</v>
      </c>
      <c r="H29" s="41">
        <f>SUM(C29:G29)</f>
        <v>104</v>
      </c>
    </row>
    <row r="30">
      <c r="B30" s="40" t="inlineStr">
        <is>
          <t>P4 · Escuchado por la institución</t>
        </is>
      </c>
      <c r="C30" s="34">
        <f>COUNTIF(Avanzada!$F$5:$F$108,1)</f>
        <v>23</v>
      </c>
      <c r="D30" s="34">
        <f>COUNTIF(Avanzada!$F$5:$F$108,2)</f>
        <v>23</v>
      </c>
      <c r="E30" s="34">
        <f>COUNTIF(Avanzada!$F$5:$F$108,3)</f>
        <v>22</v>
      </c>
      <c r="F30" s="34">
        <f>COUNTIF(Avanzada!$F$5:$F$108,4)</f>
        <v>27</v>
      </c>
      <c r="G30" s="34">
        <f>COUNTIF(Avanzada!$F$5:$F$108,5)</f>
        <v>9</v>
      </c>
      <c r="H30" s="41">
        <f>SUM(C30:G30)</f>
        <v>104</v>
      </c>
    </row>
    <row r="31">
      <c r="B31" s="40" t="inlineStr">
        <is>
          <t>P5 · Facilidad para dar sugerencias</t>
        </is>
      </c>
      <c r="C31" s="34">
        <f>COUNTIF(Avanzada!$G$5:$G$108,1)</f>
        <v>21</v>
      </c>
      <c r="D31" s="34">
        <f>COUNTIF(Avanzada!$G$5:$G$108,2)</f>
        <v>18</v>
      </c>
      <c r="E31" s="34">
        <f>COUNTIF(Avanzada!$G$5:$G$108,3)</f>
        <v>37</v>
      </c>
      <c r="F31" s="34">
        <f>COUNTIF(Avanzada!$G$5:$G$108,4)</f>
        <v>16</v>
      </c>
      <c r="G31" s="34">
        <f>COUNTIF(Avanzada!$G$5:$G$108,5)</f>
        <v>12</v>
      </c>
      <c r="H31" s="41">
        <f>SUM(C31:G31)</f>
        <v>104</v>
      </c>
    </row>
    <row r="32">
      <c r="B32" s="40" t="inlineStr">
        <is>
          <t>P6 · Satisfacción con actividades</t>
        </is>
      </c>
      <c r="C32" s="34">
        <f>COUNTIF(Avanzada!$H$5:$H$108,1)</f>
        <v>11</v>
      </c>
      <c r="D32" s="34">
        <f>COUNTIF(Avanzada!$H$5:$H$108,2)</f>
        <v>20</v>
      </c>
      <c r="E32" s="34">
        <f>COUNTIF(Avanzada!$H$5:$H$108,3)</f>
        <v>37</v>
      </c>
      <c r="F32" s="34">
        <f>COUNTIF(Avanzada!$H$5:$H$108,4)</f>
        <v>25</v>
      </c>
      <c r="G32" s="34">
        <f>COUNTIF(Avanzada!$H$5:$H$108,5)</f>
        <v>11</v>
      </c>
      <c r="H32" s="41">
        <f>SUM(C32:G32)</f>
        <v>104</v>
      </c>
    </row>
    <row r="34" ht="30" customHeight="1">
      <c r="B34" s="31" t="inlineStr">
        <is>
          <t>Porcentaje de respuestas</t>
        </is>
      </c>
      <c r="C34" s="32" t="inlineStr">
        <is>
          <t>1</t>
        </is>
      </c>
      <c r="D34" s="32" t="inlineStr">
        <is>
          <t>2</t>
        </is>
      </c>
      <c r="E34" s="32" t="inlineStr">
        <is>
          <t>3</t>
        </is>
      </c>
      <c r="F34" s="32" t="inlineStr">
        <is>
          <t>4</t>
        </is>
      </c>
      <c r="G34" s="32" t="inlineStr">
        <is>
          <t>5</t>
        </is>
      </c>
      <c r="H34" s="32" t="inlineStr">
        <is>
          <t>Total</t>
        </is>
      </c>
    </row>
    <row r="35">
      <c r="B35" s="40" t="inlineStr">
        <is>
          <t>P2 · Disposición a votar</t>
        </is>
      </c>
      <c r="C35" s="35">
        <f>C28/$H28</f>
        <v>0.0865384615384615</v>
      </c>
      <c r="D35" s="35">
        <f>D28/$H28</f>
        <v>0.0865384615384615</v>
      </c>
      <c r="E35" s="35">
        <f>E28/$H28</f>
        <v>0.163461538461538</v>
      </c>
      <c r="F35" s="35">
        <f>F28/$H28</f>
        <v>0.384615384615385</v>
      </c>
      <c r="G35" s="35">
        <f>G28/$H28</f>
        <v>0.278846153846154</v>
      </c>
      <c r="H35" s="42">
        <f>SUM(C35:G35)</f>
        <v>1</v>
      </c>
    </row>
    <row r="36">
      <c r="B36" s="40" t="inlineStr">
        <is>
          <t>P3 · Escuchado por su representante</t>
        </is>
      </c>
      <c r="C36" s="35">
        <f>C29/$H29</f>
        <v>0.288461538461538</v>
      </c>
      <c r="D36" s="35">
        <f>D29/$H29</f>
        <v>0.201923076923077</v>
      </c>
      <c r="E36" s="35">
        <f>E29/$H29</f>
        <v>0.182692307692308</v>
      </c>
      <c r="F36" s="35">
        <f>F29/$H29</f>
        <v>0.211538461538462</v>
      </c>
      <c r="G36" s="35">
        <f>G29/$H29</f>
        <v>0.115384615384615</v>
      </c>
      <c r="H36" s="42">
        <f>SUM(C36:G36)</f>
        <v>1</v>
      </c>
    </row>
    <row r="37">
      <c r="B37" s="40" t="inlineStr">
        <is>
          <t>P4 · Escuchado por la institución</t>
        </is>
      </c>
      <c r="C37" s="35">
        <f>C30/$H30</f>
        <v>0.221153846153846</v>
      </c>
      <c r="D37" s="35">
        <f>D30/$H30</f>
        <v>0.221153846153846</v>
      </c>
      <c r="E37" s="35">
        <f>E30/$H30</f>
        <v>0.211538461538462</v>
      </c>
      <c r="F37" s="35">
        <f>F30/$H30</f>
        <v>0.259615384615385</v>
      </c>
      <c r="G37" s="35">
        <f>G30/$H30</f>
        <v>0.0865384615384615</v>
      </c>
      <c r="H37" s="42">
        <f>SUM(C37:G37)</f>
        <v>1</v>
      </c>
    </row>
    <row r="38">
      <c r="B38" s="40" t="inlineStr">
        <is>
          <t>P5 · Facilidad para dar sugerencias</t>
        </is>
      </c>
      <c r="C38" s="35">
        <f>C31/$H31</f>
        <v>0.201923076923077</v>
      </c>
      <c r="D38" s="35">
        <f>D31/$H31</f>
        <v>0.173076923076923</v>
      </c>
      <c r="E38" s="35">
        <f>E31/$H31</f>
        <v>0.355769230769231</v>
      </c>
      <c r="F38" s="35">
        <f>F31/$H31</f>
        <v>0.153846153846154</v>
      </c>
      <c r="G38" s="35">
        <f>G31/$H31</f>
        <v>0.115384615384615</v>
      </c>
      <c r="H38" s="42">
        <f>SUM(C38:G38)</f>
        <v>1</v>
      </c>
    </row>
    <row r="39">
      <c r="B39" s="40" t="inlineStr">
        <is>
          <t>P6 · Satisfacción con actividades</t>
        </is>
      </c>
      <c r="C39" s="35">
        <f>C32/$H32</f>
        <v>0.105769230769231</v>
      </c>
      <c r="D39" s="35">
        <f>D32/$H32</f>
        <v>0.192307692307692</v>
      </c>
      <c r="E39" s="35">
        <f>E32/$H32</f>
        <v>0.355769230769231</v>
      </c>
      <c r="F39" s="35">
        <f>F32/$H32</f>
        <v>0.240384615384615</v>
      </c>
      <c r="G39" s="35">
        <f>G32/$H32</f>
        <v>0.105769230769231</v>
      </c>
      <c r="H39" s="42">
        <f>SUM(C39:G39)</f>
        <v>1</v>
      </c>
    </row>
    <row r="43" ht="22" customHeight="1">
      <c r="B43" s="29" t="inlineStr">
        <is>
          <t>3  Indicadores estadísticos</t>
        </is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</row>
    <row r="44" ht="30" customHeight="1">
      <c r="B44" s="31" t="inlineStr">
        <is>
          <t>Pregunta</t>
        </is>
      </c>
      <c r="C44" s="32" t="inlineStr">
        <is>
          <t>N</t>
        </is>
      </c>
      <c r="D44" s="32" t="inlineStr">
        <is>
          <t>Media</t>
        </is>
      </c>
      <c r="E44" s="32" t="inlineStr">
        <is>
          <t>Mediana</t>
        </is>
      </c>
      <c r="F44" s="32" t="inlineStr">
        <is>
          <t>Moda</t>
        </is>
      </c>
      <c r="G44" s="32" t="inlineStr">
        <is>
          <t>Desv. estándar</t>
        </is>
      </c>
      <c r="H44" s="32" t="inlineStr">
        <is>
          <t>% de acuerdo (4–5)</t>
        </is>
      </c>
      <c r="I44" s="32" t="inlineStr">
        <is>
          <t>± margen de error</t>
        </is>
      </c>
    </row>
    <row r="45">
      <c r="B45" s="40" t="inlineStr">
        <is>
          <t>P2 · Disposición a votar</t>
        </is>
      </c>
      <c r="C45" s="34">
        <f>COUNT(Avanzada!$D$5:$D$108)</f>
        <v>104</v>
      </c>
      <c r="D45" s="43">
        <f>AVERAGE(Avanzada!$D$5:$D$108)</f>
        <v>3.68269230769231</v>
      </c>
      <c r="E45" s="44">
        <f>MEDIAN(Avanzada!$D$5:$D$108)</f>
        <v>4</v>
      </c>
      <c r="F45" s="34">
        <f>MODE(Avanzada!$D$5:$D$108)</f>
        <v>4</v>
      </c>
      <c r="G45" s="43">
        <f>STDEV(Avanzada!$D$5:$D$108)</f>
        <v>1.21690697426629</v>
      </c>
      <c r="H45" s="42">
        <f>COUNTIF(Avanzada!$D$5:$D$108,"&gt;=4")/C45</f>
        <v>0.663461538461538</v>
      </c>
      <c r="I45" s="45">
        <f>1.96*SQRT(H45*(1-H45)/C45)</f>
        <v>0.0908164727001688</v>
      </c>
    </row>
    <row r="46">
      <c r="B46" s="40" t="inlineStr">
        <is>
          <t>P3 · Escuchado por su representante</t>
        </is>
      </c>
      <c r="C46" s="34">
        <f>COUNT(Avanzada!$E$5:$E$108)</f>
        <v>104</v>
      </c>
      <c r="D46" s="43">
        <f>AVERAGE(Avanzada!$E$5:$E$108)</f>
        <v>2.66346153846154</v>
      </c>
      <c r="E46" s="44">
        <f>MEDIAN(Avanzada!$E$5:$E$108)</f>
        <v>3</v>
      </c>
      <c r="F46" s="34">
        <f>MODE(Avanzada!$E$5:$E$108)</f>
        <v>1</v>
      </c>
      <c r="G46" s="43">
        <f>STDEV(Avanzada!$E$5:$E$108)</f>
        <v>1.39075014279036</v>
      </c>
      <c r="H46" s="42">
        <f>COUNTIF(Avanzada!$E$5:$E$108,"&gt;=4")/C46</f>
        <v>0.326923076923077</v>
      </c>
      <c r="I46" s="45">
        <f>1.96*SQRT(H46*(1-H46)/C46)</f>
        <v>0.0901559804965763</v>
      </c>
    </row>
    <row r="47">
      <c r="B47" s="40" t="inlineStr">
        <is>
          <t>P4 · Escuchado por la institución</t>
        </is>
      </c>
      <c r="C47" s="34">
        <f>COUNT(Avanzada!$F$5:$F$108)</f>
        <v>104</v>
      </c>
      <c r="D47" s="43">
        <f>AVERAGE(Avanzada!$F$5:$F$108)</f>
        <v>2.76923076923077</v>
      </c>
      <c r="E47" s="44">
        <f>MEDIAN(Avanzada!$F$5:$F$108)</f>
        <v>3</v>
      </c>
      <c r="F47" s="34">
        <f>MODE(Avanzada!$F$5:$F$108)</f>
        <v>4</v>
      </c>
      <c r="G47" s="43">
        <f>STDEV(Avanzada!$F$5:$F$108)</f>
        <v>1.29397985631872</v>
      </c>
      <c r="H47" s="42">
        <f>COUNTIF(Avanzada!$F$5:$F$108,"&gt;=4")/C47</f>
        <v>0.346153846153846</v>
      </c>
      <c r="I47" s="45">
        <f>1.96*SQRT(H47*(1-H47)/C47)</f>
        <v>0.0914348526070831</v>
      </c>
    </row>
    <row r="48">
      <c r="B48" s="40" t="inlineStr">
        <is>
          <t>P5 · Facilidad para dar sugerencias</t>
        </is>
      </c>
      <c r="C48" s="34">
        <f>COUNT(Avanzada!$G$5:$G$108)</f>
        <v>104</v>
      </c>
      <c r="D48" s="43">
        <f>AVERAGE(Avanzada!$G$5:$G$108)</f>
        <v>2.80769230769231</v>
      </c>
      <c r="E48" s="44">
        <f>MEDIAN(Avanzada!$G$5:$G$108)</f>
        <v>3</v>
      </c>
      <c r="F48" s="34">
        <f>MODE(Avanzada!$G$5:$G$108)</f>
        <v>3</v>
      </c>
      <c r="G48" s="43">
        <f>STDEV(Avanzada!$G$5:$G$108)</f>
        <v>1.25471478271345</v>
      </c>
      <c r="H48" s="42">
        <f>COUNTIF(Avanzada!$G$5:$G$108,"&gt;=4")/C48</f>
        <v>0.269230769230769</v>
      </c>
      <c r="I48" s="45">
        <f>1.96*SQRT(H48*(1-H48)/C48)</f>
        <v>0.0852495066238425</v>
      </c>
    </row>
    <row r="49">
      <c r="B49" s="40" t="inlineStr">
        <is>
          <t>P6 · Satisfacción con actividades</t>
        </is>
      </c>
      <c r="C49" s="34">
        <f>COUNT(Avanzada!$H$5:$H$108)</f>
        <v>104</v>
      </c>
      <c r="D49" s="43">
        <f>AVERAGE(Avanzada!$H$5:$H$108)</f>
        <v>3.04807692307692</v>
      </c>
      <c r="E49" s="44">
        <f>MEDIAN(Avanzada!$H$5:$H$108)</f>
        <v>3</v>
      </c>
      <c r="F49" s="34">
        <f>MODE(Avanzada!$H$5:$H$108)</f>
        <v>3</v>
      </c>
      <c r="G49" s="43">
        <f>STDEV(Avanzada!$H$5:$H$108)</f>
        <v>1.13530978358552</v>
      </c>
      <c r="H49" s="42">
        <f>COUNTIF(Avanzada!$H$5:$H$108,"&gt;=4")/C49</f>
        <v>0.346153846153846</v>
      </c>
      <c r="I49" s="45">
        <f>1.96*SQRT(H49*(1-H49)/C49)</f>
        <v>0.0914348526070831</v>
      </c>
    </row>
    <row r="51" ht="30" customHeight="1">
      <c r="B51" s="31" t="inlineStr">
        <is>
          <t>Resumen en tres niveles</t>
        </is>
      </c>
      <c r="C51" s="32" t="inlineStr">
        <is>
          <t>% En desacuerdo (1–2)</t>
        </is>
      </c>
      <c r="D51" s="32" t="inlineStr">
        <is>
          <t>% Neutral (3)</t>
        </is>
      </c>
      <c r="E51" s="32" t="inlineStr">
        <is>
          <t>% De acuerdo (4–5)</t>
        </is>
      </c>
    </row>
    <row r="52">
      <c r="B52" s="40" t="inlineStr">
        <is>
          <t>P2 · Disposición a votar</t>
        </is>
      </c>
      <c r="C52" s="35">
        <f>COUNTIF(Avanzada!$D$5:$D$108,"&lt;=2")/C45</f>
        <v>0.173076923076923</v>
      </c>
      <c r="D52" s="35">
        <f>COUNTIF(Avanzada!$D$5:$D$108,3)/C45</f>
        <v>0.163461538461538</v>
      </c>
      <c r="E52" s="35">
        <f>COUNTIF(Avanzada!$D$5:$D$108,"&gt;=4")/C45</f>
        <v>0.663461538461538</v>
      </c>
    </row>
    <row r="53">
      <c r="B53" s="40" t="inlineStr">
        <is>
          <t>P3 · Escuchado por su representante</t>
        </is>
      </c>
      <c r="C53" s="35">
        <f>COUNTIF(Avanzada!$E$5:$E$108,"&lt;=2")/C46</f>
        <v>0.490384615384615</v>
      </c>
      <c r="D53" s="35">
        <f>COUNTIF(Avanzada!$E$5:$E$108,3)/C46</f>
        <v>0.182692307692308</v>
      </c>
      <c r="E53" s="35">
        <f>COUNTIF(Avanzada!$E$5:$E$108,"&gt;=4")/C46</f>
        <v>0.326923076923077</v>
      </c>
    </row>
    <row r="54">
      <c r="B54" s="40" t="inlineStr">
        <is>
          <t>P4 · Escuchado por la institución</t>
        </is>
      </c>
      <c r="C54" s="35">
        <f>COUNTIF(Avanzada!$F$5:$F$108,"&lt;=2")/C47</f>
        <v>0.442307692307692</v>
      </c>
      <c r="D54" s="35">
        <f>COUNTIF(Avanzada!$F$5:$F$108,3)/C47</f>
        <v>0.211538461538462</v>
      </c>
      <c r="E54" s="35">
        <f>COUNTIF(Avanzada!$F$5:$F$108,"&gt;=4")/C47</f>
        <v>0.346153846153846</v>
      </c>
    </row>
    <row r="55">
      <c r="B55" s="40" t="inlineStr">
        <is>
          <t>P5 · Facilidad para dar sugerencias</t>
        </is>
      </c>
      <c r="C55" s="35">
        <f>COUNTIF(Avanzada!$G$5:$G$108,"&lt;=2")/C48</f>
        <v>0.375</v>
      </c>
      <c r="D55" s="35">
        <f>COUNTIF(Avanzada!$G$5:$G$108,3)/C48</f>
        <v>0.355769230769231</v>
      </c>
      <c r="E55" s="35">
        <f>COUNTIF(Avanzada!$G$5:$G$108,"&gt;=4")/C48</f>
        <v>0.269230769230769</v>
      </c>
    </row>
    <row r="56">
      <c r="B56" s="40" t="inlineStr">
        <is>
          <t>P6 · Satisfacción con actividades</t>
        </is>
      </c>
      <c r="C56" s="35">
        <f>COUNTIF(Avanzada!$H$5:$H$108,"&lt;=2")/C49</f>
        <v>0.298076923076923</v>
      </c>
      <c r="D56" s="35">
        <f>COUNTIF(Avanzada!$H$5:$H$108,3)/C49</f>
        <v>0.355769230769231</v>
      </c>
      <c r="E56" s="35">
        <f>COUNTIF(Avanzada!$H$5:$H$108,"&gt;=4")/C49</f>
        <v>0.346153846153846</v>
      </c>
    </row>
    <row r="60" ht="22" customHeight="1">
      <c r="B60" s="29" t="inlineStr">
        <is>
          <t>4  Comparación por grado</t>
        </is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</row>
    <row r="61" ht="30" customHeight="1">
      <c r="B61" s="31" t="inlineStr">
        <is>
          <t>Media por grado</t>
        </is>
      </c>
      <c r="C61" s="32" t="inlineStr">
        <is>
          <t>Encuestas</t>
        </is>
      </c>
      <c r="D61" s="32" t="inlineStr">
        <is>
          <t>P2 Votar</t>
        </is>
      </c>
      <c r="E61" s="32" t="inlineStr">
        <is>
          <t>P3 Repres.</t>
        </is>
      </c>
      <c r="F61" s="32" t="inlineStr">
        <is>
          <t>P4 Institución</t>
        </is>
      </c>
      <c r="G61" s="32" t="inlineStr">
        <is>
          <t>P5 Sugerir</t>
        </is>
      </c>
      <c r="H61" s="32" t="inlineStr">
        <is>
          <t>P6 Actividades</t>
        </is>
      </c>
    </row>
    <row r="62">
      <c r="B62" s="33" t="n">
        <v>6</v>
      </c>
      <c r="C62" s="34">
        <f>COUNTIF(Avanzada!$C$5:$C$108,B62)</f>
        <v>9</v>
      </c>
      <c r="D62" s="43">
        <f>AVERAGEIF(Avanzada!$C$5:$C$108,$B62,Avanzada!$D$5:$D$108)</f>
        <v>3.88888888888889</v>
      </c>
      <c r="E62" s="43">
        <f>AVERAGEIF(Avanzada!$C$5:$C$108,$B62,Avanzada!$E$5:$E$108)</f>
        <v>3.88888888888889</v>
      </c>
      <c r="F62" s="43">
        <f>AVERAGEIF(Avanzada!$C$5:$C$108,$B62,Avanzada!$F$5:$F$108)</f>
        <v>3.77777777777778</v>
      </c>
      <c r="G62" s="43">
        <f>AVERAGEIF(Avanzada!$C$5:$C$108,$B62,Avanzada!$G$5:$G$108)</f>
        <v>3.22222222222222</v>
      </c>
      <c r="H62" s="43">
        <f>AVERAGEIF(Avanzada!$C$5:$C$108,$B62,Avanzada!$H$5:$H$108)</f>
        <v>3.44444444444444</v>
      </c>
    </row>
    <row r="63">
      <c r="B63" s="33" t="n">
        <v>7</v>
      </c>
      <c r="C63" s="34">
        <f>COUNTIF(Avanzada!$C$5:$C$108,B63)</f>
        <v>10</v>
      </c>
      <c r="D63" s="43">
        <f>AVERAGEIF(Avanzada!$C$5:$C$108,$B63,Avanzada!$D$5:$D$108)</f>
        <v>2.8</v>
      </c>
      <c r="E63" s="43">
        <f>AVERAGEIF(Avanzada!$C$5:$C$108,$B63,Avanzada!$E$5:$E$108)</f>
        <v>2.3</v>
      </c>
      <c r="F63" s="43">
        <f>AVERAGEIF(Avanzada!$C$5:$C$108,$B63,Avanzada!$F$5:$F$108)</f>
        <v>2.9</v>
      </c>
      <c r="G63" s="43">
        <f>AVERAGEIF(Avanzada!$C$5:$C$108,$B63,Avanzada!$G$5:$G$108)</f>
        <v>2.4</v>
      </c>
      <c r="H63" s="43">
        <f>AVERAGEIF(Avanzada!$C$5:$C$108,$B63,Avanzada!$H$5:$H$108)</f>
        <v>2.9</v>
      </c>
    </row>
    <row r="64">
      <c r="B64" s="33" t="n">
        <v>8</v>
      </c>
      <c r="C64" s="34">
        <f>COUNTIF(Avanzada!$C$5:$C$108,B64)</f>
        <v>23</v>
      </c>
      <c r="D64" s="43">
        <f>AVERAGEIF(Avanzada!$C$5:$C$108,$B64,Avanzada!$D$5:$D$108)</f>
        <v>3.34782608695652</v>
      </c>
      <c r="E64" s="43">
        <f>AVERAGEIF(Avanzada!$C$5:$C$108,$B64,Avanzada!$E$5:$E$108)</f>
        <v>2.39130434782609</v>
      </c>
      <c r="F64" s="43">
        <f>AVERAGEIF(Avanzada!$C$5:$C$108,$B64,Avanzada!$F$5:$F$108)</f>
        <v>3.08695652173913</v>
      </c>
      <c r="G64" s="43">
        <f>AVERAGEIF(Avanzada!$C$5:$C$108,$B64,Avanzada!$G$5:$G$108)</f>
        <v>2.56521739130435</v>
      </c>
      <c r="H64" s="43">
        <f>AVERAGEIF(Avanzada!$C$5:$C$108,$B64,Avanzada!$H$5:$H$108)</f>
        <v>3.21739130434783</v>
      </c>
    </row>
    <row r="65">
      <c r="B65" s="33" t="n">
        <v>9</v>
      </c>
      <c r="C65" s="34">
        <f>COUNTIF(Avanzada!$C$5:$C$108,B65)</f>
        <v>27</v>
      </c>
      <c r="D65" s="43">
        <f>AVERAGEIF(Avanzada!$C$5:$C$108,$B65,Avanzada!$D$5:$D$108)</f>
        <v>3.81481481481482</v>
      </c>
      <c r="E65" s="43">
        <f>AVERAGEIF(Avanzada!$C$5:$C$108,$B65,Avanzada!$E$5:$E$108)</f>
        <v>2.7037037037037</v>
      </c>
      <c r="F65" s="43">
        <f>AVERAGEIF(Avanzada!$C$5:$C$108,$B65,Avanzada!$F$5:$F$108)</f>
        <v>2.18518518518519</v>
      </c>
      <c r="G65" s="43">
        <f>AVERAGEIF(Avanzada!$C$5:$C$108,$B65,Avanzada!$G$5:$G$108)</f>
        <v>2.66666666666667</v>
      </c>
      <c r="H65" s="43">
        <f>AVERAGEIF(Avanzada!$C$5:$C$108,$B65,Avanzada!$H$5:$H$108)</f>
        <v>2.66666666666667</v>
      </c>
    </row>
    <row r="66">
      <c r="B66" s="33" t="n">
        <v>10</v>
      </c>
      <c r="C66" s="34">
        <f>COUNTIF(Avanzada!$C$5:$C$108,B66)</f>
        <v>18</v>
      </c>
      <c r="D66" s="43">
        <f>AVERAGEIF(Avanzada!$C$5:$C$108,$B66,Avanzada!$D$5:$D$108)</f>
        <v>4.05555555555556</v>
      </c>
      <c r="E66" s="43">
        <f>AVERAGEIF(Avanzada!$C$5:$C$108,$B66,Avanzada!$E$5:$E$108)</f>
        <v>2.38888888888889</v>
      </c>
      <c r="F66" s="43">
        <f>AVERAGEIF(Avanzada!$C$5:$C$108,$B66,Avanzada!$F$5:$F$108)</f>
        <v>2.61111111111111</v>
      </c>
      <c r="G66" s="43">
        <f>AVERAGEIF(Avanzada!$C$5:$C$108,$B66,Avanzada!$G$5:$G$108)</f>
        <v>2.83333333333333</v>
      </c>
      <c r="H66" s="43">
        <f>AVERAGEIF(Avanzada!$C$5:$C$108,$B66,Avanzada!$H$5:$H$108)</f>
        <v>3.05555555555556</v>
      </c>
    </row>
    <row r="67">
      <c r="B67" s="33" t="n">
        <v>11</v>
      </c>
      <c r="C67" s="34">
        <f>COUNTIF(Avanzada!$C$5:$C$108,B67)</f>
        <v>17</v>
      </c>
      <c r="D67" s="43">
        <f>AVERAGEIF(Avanzada!$C$5:$C$108,$B67,Avanzada!$D$5:$D$108)</f>
        <v>3.94117647058824</v>
      </c>
      <c r="E67" s="43">
        <f>AVERAGEIF(Avanzada!$C$5:$C$108,$B67,Avanzada!$E$5:$E$108)</f>
        <v>2.82352941176471</v>
      </c>
      <c r="F67" s="43">
        <f>AVERAGEIF(Avanzada!$C$5:$C$108,$B67,Avanzada!$F$5:$F$108)</f>
        <v>2.82352941176471</v>
      </c>
      <c r="G67" s="43">
        <f>AVERAGEIF(Avanzada!$C$5:$C$108,$B67,Avanzada!$G$5:$G$108)</f>
        <v>3.35294117647059</v>
      </c>
      <c r="H67" s="43">
        <f>AVERAGEIF(Avanzada!$C$5:$C$108,$B67,Avanzada!$H$5:$H$108)</f>
        <v>3.29411764705882</v>
      </c>
    </row>
    <row r="68">
      <c r="B68" s="36" t="inlineStr">
        <is>
          <t>Todos los grados</t>
        </is>
      </c>
      <c r="C68" s="37">
        <f>SUM(C62:C67)</f>
        <v>104</v>
      </c>
      <c r="D68" s="46">
        <f>AVERAGE(Avanzada!$D$5:$D$108)</f>
        <v>3.68269230769231</v>
      </c>
      <c r="E68" s="46">
        <f>AVERAGE(Avanzada!$E$5:$E$108)</f>
        <v>2.66346153846154</v>
      </c>
      <c r="F68" s="46">
        <f>AVERAGE(Avanzada!$F$5:$F$108)</f>
        <v>2.76923076923077</v>
      </c>
      <c r="G68" s="46">
        <f>AVERAGE(Avanzada!$G$5:$G$108)</f>
        <v>2.80769230769231</v>
      </c>
      <c r="H68" s="46">
        <f>AVERAGE(Avanzada!$H$5:$H$108)</f>
        <v>3.04807692307692</v>
      </c>
    </row>
    <row r="70" ht="30" customHeight="1">
      <c r="B70" s="31" t="inlineStr">
        <is>
          <t>Disposición a votar (P2)</t>
        </is>
      </c>
      <c r="C70" s="32" t="inlineStr">
        <is>
          <t>n</t>
        </is>
      </c>
      <c r="D70" s="32" t="inlineStr">
        <is>
          <t>% de acuerdo (4–5)</t>
        </is>
      </c>
    </row>
    <row r="71">
      <c r="B71" s="40" t="str">
        <f>B62&amp;".° (n="&amp;C62&amp;")"</f>
        <v>6.° (n=9)</v>
      </c>
      <c r="C71" s="34">
        <f>C62</f>
        <v>9</v>
      </c>
      <c r="D71" s="42">
        <f>COUNTIFS(Avanzada!$C$5:$C$108,6,Avanzada!$D$5:$D$108,"&gt;=4")/C71</f>
        <v>0.888888888888889</v>
      </c>
    </row>
    <row r="72">
      <c r="B72" s="40" t="str">
        <f>B63&amp;".° (n="&amp;C63&amp;")"</f>
        <v>7.° (n=10)</v>
      </c>
      <c r="C72" s="34">
        <f>C63</f>
        <v>10</v>
      </c>
      <c r="D72" s="42">
        <f>COUNTIFS(Avanzada!$C$5:$C$108,7,Avanzada!$D$5:$D$108,"&gt;=4")/C72</f>
        <v>0.4</v>
      </c>
    </row>
    <row r="73">
      <c r="B73" s="40" t="str">
        <f>B64&amp;".° (n="&amp;C64&amp;")"</f>
        <v>8.° (n=23)</v>
      </c>
      <c r="C73" s="34">
        <f>C64</f>
        <v>23</v>
      </c>
      <c r="D73" s="42">
        <f>COUNTIFS(Avanzada!$C$5:$C$108,8,Avanzada!$D$5:$D$108,"&gt;=4")/C73</f>
        <v>0.434782608695652</v>
      </c>
    </row>
    <row r="74">
      <c r="B74" s="40" t="str">
        <f>B65&amp;".° (n="&amp;C65&amp;")"</f>
        <v>9.° (n=27)</v>
      </c>
      <c r="C74" s="34">
        <f>C65</f>
        <v>27</v>
      </c>
      <c r="D74" s="42">
        <f>COUNTIFS(Avanzada!$C$5:$C$108,9,Avanzada!$D$5:$D$108,"&gt;=4")/C74</f>
        <v>0.740740740740741</v>
      </c>
    </row>
    <row r="75">
      <c r="B75" s="40" t="str">
        <f>B66&amp;".° (n="&amp;C66&amp;")"</f>
        <v>10.° (n=18)</v>
      </c>
      <c r="C75" s="34">
        <f>C66</f>
        <v>18</v>
      </c>
      <c r="D75" s="42">
        <f>COUNTIFS(Avanzada!$C$5:$C$108,10,Avanzada!$D$5:$D$108,"&gt;=4")/C75</f>
        <v>0.777777777777778</v>
      </c>
    </row>
    <row r="76">
      <c r="B76" s="40" t="str">
        <f>B67&amp;".° (n="&amp;C67&amp;")"</f>
        <v>11.° (n=17)</v>
      </c>
      <c r="C76" s="34">
        <f>C67</f>
        <v>17</v>
      </c>
      <c r="D76" s="42">
        <f>COUNTIFS(Avanzada!$C$5:$C$108,11,Avanzada!$D$5:$D$108,"&gt;=4")/C76</f>
        <v>0.764705882352941</v>
      </c>
    </row>
    <row r="77">
      <c r="B77" s="36" t="inlineStr">
        <is>
          <t>Todos</t>
        </is>
      </c>
      <c r="C77" s="37">
        <f>C68</f>
        <v>104</v>
      </c>
      <c r="D77" s="38">
        <f>COUNTIF(Avanzada!$D$5:$D$108,"&gt;=4")/C77</f>
        <v>0.663461538461538</v>
      </c>
    </row>
    <row r="80" ht="22" customHeight="1">
      <c r="B80" s="29" t="inlineStr">
        <is>
          <t>5  P7 · ¿El espacio es adecuado?</t>
        </is>
      </c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</row>
    <row r="81" ht="30" customHeight="1">
      <c r="B81" s="31" t="inlineStr">
        <is>
          <t>Grado</t>
        </is>
      </c>
      <c r="C81" s="32" t="inlineStr">
        <is>
          <t>Sí</t>
        </is>
      </c>
      <c r="D81" s="32" t="inlineStr">
        <is>
          <t>No</t>
        </is>
      </c>
      <c r="E81" s="32" t="inlineStr">
        <is>
          <t>Total</t>
        </is>
      </c>
      <c r="F81" s="32" t="inlineStr">
        <is>
          <t>% Sí</t>
        </is>
      </c>
      <c r="G81" s="32" t="inlineStr">
        <is>
          <t>% No</t>
        </is>
      </c>
    </row>
    <row r="82">
      <c r="B82" s="33" t="n">
        <v>6</v>
      </c>
      <c r="C82" s="34">
        <f>COUNTIFS(Avanzada!$C$5:$C$108,B82,Avanzada!$I$5:$I$108,"Si")</f>
        <v>8</v>
      </c>
      <c r="D82" s="34">
        <f>COUNTIFS(Avanzada!$C$5:$C$108,B82,Avanzada!$I$5:$I$108,"No")</f>
        <v>1</v>
      </c>
      <c r="E82" s="34">
        <f>C82+D82</f>
        <v>9</v>
      </c>
      <c r="F82" s="35">
        <f>C82/E82</f>
        <v>0.888888888888889</v>
      </c>
      <c r="G82" s="35">
        <f>D82/E82</f>
        <v>0.111111111111111</v>
      </c>
    </row>
    <row r="83">
      <c r="B83" s="33" t="n">
        <v>7</v>
      </c>
      <c r="C83" s="34">
        <f>COUNTIFS(Avanzada!$C$5:$C$108,B83,Avanzada!$I$5:$I$108,"Si")</f>
        <v>4</v>
      </c>
      <c r="D83" s="34">
        <f>COUNTIFS(Avanzada!$C$5:$C$108,B83,Avanzada!$I$5:$I$108,"No")</f>
        <v>6</v>
      </c>
      <c r="E83" s="34">
        <f>C83+D83</f>
        <v>10</v>
      </c>
      <c r="F83" s="35">
        <f>C83/E83</f>
        <v>0.4</v>
      </c>
      <c r="G83" s="35">
        <f>D83/E83</f>
        <v>0.6</v>
      </c>
    </row>
    <row r="84">
      <c r="B84" s="33" t="n">
        <v>8</v>
      </c>
      <c r="C84" s="34">
        <f>COUNTIFS(Avanzada!$C$5:$C$108,B84,Avanzada!$I$5:$I$108,"Si")</f>
        <v>12</v>
      </c>
      <c r="D84" s="34">
        <f>COUNTIFS(Avanzada!$C$5:$C$108,B84,Avanzada!$I$5:$I$108,"No")</f>
        <v>11</v>
      </c>
      <c r="E84" s="34">
        <f>C84+D84</f>
        <v>23</v>
      </c>
      <c r="F84" s="35">
        <f>C84/E84</f>
        <v>0.521739130434783</v>
      </c>
      <c r="G84" s="35">
        <f>D84/E84</f>
        <v>0.478260869565217</v>
      </c>
    </row>
    <row r="85">
      <c r="B85" s="33" t="n">
        <v>9</v>
      </c>
      <c r="C85" s="34">
        <f>COUNTIFS(Avanzada!$C$5:$C$108,B85,Avanzada!$I$5:$I$108,"Si")</f>
        <v>16</v>
      </c>
      <c r="D85" s="34">
        <f>COUNTIFS(Avanzada!$C$5:$C$108,B85,Avanzada!$I$5:$I$108,"No")</f>
        <v>11</v>
      </c>
      <c r="E85" s="34">
        <f>C85+D85</f>
        <v>27</v>
      </c>
      <c r="F85" s="35">
        <f>C85/E85</f>
        <v>0.592592592592593</v>
      </c>
      <c r="G85" s="35">
        <f>D85/E85</f>
        <v>0.407407407407407</v>
      </c>
    </row>
    <row r="86">
      <c r="B86" s="33" t="n">
        <v>10</v>
      </c>
      <c r="C86" s="34">
        <f>COUNTIFS(Avanzada!$C$5:$C$108,B86,Avanzada!$I$5:$I$108,"Si")</f>
        <v>8</v>
      </c>
      <c r="D86" s="34">
        <f>COUNTIFS(Avanzada!$C$5:$C$108,B86,Avanzada!$I$5:$I$108,"No")</f>
        <v>10</v>
      </c>
      <c r="E86" s="34">
        <f>C86+D86</f>
        <v>18</v>
      </c>
      <c r="F86" s="35">
        <f>C86/E86</f>
        <v>0.444444444444444</v>
      </c>
      <c r="G86" s="35">
        <f>D86/E86</f>
        <v>0.555555555555556</v>
      </c>
    </row>
    <row r="87">
      <c r="B87" s="33" t="n">
        <v>11</v>
      </c>
      <c r="C87" s="34">
        <f>COUNTIFS(Avanzada!$C$5:$C$108,B87,Avanzada!$I$5:$I$108,"Si")</f>
        <v>4</v>
      </c>
      <c r="D87" s="34">
        <f>COUNTIFS(Avanzada!$C$5:$C$108,B87,Avanzada!$I$5:$I$108,"No")</f>
        <v>13</v>
      </c>
      <c r="E87" s="34">
        <f>C87+D87</f>
        <v>17</v>
      </c>
      <c r="F87" s="35">
        <f>C87/E87</f>
        <v>0.235294117647059</v>
      </c>
      <c r="G87" s="35">
        <f>D87/E87</f>
        <v>0.764705882352941</v>
      </c>
    </row>
    <row r="88">
      <c r="B88" s="36" t="inlineStr">
        <is>
          <t>Todos</t>
        </is>
      </c>
      <c r="C88" s="37">
        <f>SUM(C82:C87)</f>
        <v>52</v>
      </c>
      <c r="D88" s="37">
        <f>SUM(D82:D87)</f>
        <v>52</v>
      </c>
      <c r="E88" s="37">
        <f>SUM(E82:E87)</f>
        <v>104</v>
      </c>
      <c r="F88" s="38">
        <f>C88/E88</f>
        <v>0.5</v>
      </c>
      <c r="G88" s="38">
        <f>D88/E88</f>
        <v>0.5</v>
      </c>
    </row>
    <row r="97" ht="22" customHeight="1">
      <c r="B97" s="29" t="inlineStr">
        <is>
          <t>6  Propuestas por categoría y respuestas abiertas</t>
        </is>
      </c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</row>
    <row r="98" ht="30" customHeight="1">
      <c r="B98" s="31" t="inlineStr">
        <is>
          <t>Categoría de propuesta</t>
        </is>
      </c>
      <c r="C98" s="32" t="inlineStr">
        <is>
          <t>Estudiantes</t>
        </is>
      </c>
      <c r="D98" s="32" t="inlineStr">
        <is>
          <t>% del total</t>
        </is>
      </c>
    </row>
    <row r="99">
      <c r="B99" s="40" t="inlineStr">
        <is>
          <t>Social / Cultural</t>
        </is>
      </c>
      <c r="C99" s="34">
        <f>COUNTIF(Avanzada!$M$5:$M$108,TRUE)</f>
        <v>47</v>
      </c>
      <c r="D99" s="42">
        <f>C99/COUNTA(Avanzada!$A$5:$A$108)</f>
        <v>0.451923076923077</v>
      </c>
    </row>
    <row r="100">
      <c r="B100" s="40" t="inlineStr">
        <is>
          <t>Convivencial</t>
        </is>
      </c>
      <c r="C100" s="34">
        <f>COUNTIF(Avanzada!$Q$5:$Q$108,TRUE)</f>
        <v>39</v>
      </c>
      <c r="D100" s="42">
        <f>C100/COUNTA(Avanzada!$A$5:$A$108)</f>
        <v>0.375</v>
      </c>
    </row>
    <row r="101">
      <c r="B101" s="40" t="inlineStr">
        <is>
          <t>Académico</t>
        </is>
      </c>
      <c r="C101" s="34">
        <f>COUNTIF(Avanzada!$L$5:$L$108,TRUE)</f>
        <v>30</v>
      </c>
      <c r="D101" s="42">
        <f>C101/COUNTA(Avanzada!$A$5:$A$108)</f>
        <v>0.288461538461538</v>
      </c>
    </row>
    <row r="102">
      <c r="B102" s="40" t="inlineStr">
        <is>
          <t>Infraestructura</t>
        </is>
      </c>
      <c r="C102" s="34">
        <f>COUNTIF(Avanzada!$N$5:$N$108,TRUE)</f>
        <v>21</v>
      </c>
      <c r="D102" s="42">
        <f>C102/COUNTA(Avanzada!$A$5:$A$108)</f>
        <v>0.201923076923077</v>
      </c>
    </row>
    <row r="103">
      <c r="B103" s="40" t="inlineStr">
        <is>
          <t>Salud mental</t>
        </is>
      </c>
      <c r="C103" s="34">
        <f>COUNTIF(Avanzada!$P$5:$P$108,TRUE)</f>
        <v>18</v>
      </c>
      <c r="D103" s="42">
        <f>C103/COUNTA(Avanzada!$A$5:$A$108)</f>
        <v>0.173076923076923</v>
      </c>
    </row>
    <row r="104">
      <c r="B104" s="40" t="inlineStr">
        <is>
          <t>Ambiental</t>
        </is>
      </c>
      <c r="C104" s="34">
        <f>COUNTIF(Avanzada!$O$5:$O$108,TRUE)</f>
        <v>11</v>
      </c>
      <c r="D104" s="42">
        <f>C104/COUNTA(Avanzada!$A$5:$A$108)</f>
        <v>0.105769230769231</v>
      </c>
    </row>
    <row r="105">
      <c r="B105" s="47" t="inlineStr">
        <is>
          <t>Sin categoría asignada</t>
        </is>
      </c>
      <c r="C105" s="48">
        <f>SUMPRODUCT(--(((Avanzada!$M$5:$M$108=TRUE)+(Avanzada!$Q$5:$Q$108=TRUE)+(Avanzada!$L$5:$L$108=TRUE)+(Avanzada!$N$5:$N$108=TRUE)+(Avanzada!$P$5:$P$108=TRUE)+(Avanzada!$O$5:$O$108=TRUE))=0))</f>
        <v>15</v>
      </c>
      <c r="D105" s="49">
        <f>C105/COUNTA(Avanzada!$A$5:$A$108)</f>
        <v>0.144230769230769</v>
      </c>
    </row>
    <row r="106">
      <c r="B106" s="39" t="inlineStr">
        <is>
          <t>Un estudiante puede mencionar varias categorías: los porcentajes no suman 100 %.</t>
        </is>
      </c>
    </row>
    <row r="108" ht="30" customHeight="1">
      <c r="B108" s="31" t="inlineStr">
        <is>
          <t>Preguntas abiertas</t>
        </is>
      </c>
      <c r="C108" s="32" t="inlineStr">
        <is>
          <t>Respondida</t>
        </is>
      </c>
      <c r="D108" s="32" t="inlineStr">
        <is>
          <t>En blanco</t>
        </is>
      </c>
      <c r="E108" s="32" t="inlineStr">
        <is>
          <t>% respondida</t>
        </is>
      </c>
    </row>
    <row r="109">
      <c r="B109" s="40" t="inlineStr">
        <is>
          <t>P8</t>
        </is>
      </c>
      <c r="C109" s="34">
        <f>SUMPRODUCT(--(Avanzada!$R$5:$R$108=TRUE))</f>
        <v>97</v>
      </c>
      <c r="D109" s="34">
        <f>COUNTA(Avanzada!$A$5:$A$108)-C109</f>
        <v>7</v>
      </c>
      <c r="E109" s="42">
        <f>C109/(C109+D109)</f>
        <v>0.932692307692308</v>
      </c>
    </row>
    <row r="110">
      <c r="B110" s="40" t="inlineStr">
        <is>
          <t>P9</t>
        </is>
      </c>
      <c r="C110" s="34">
        <f>SUMPRODUCT(--(Avanzada!$S$5:$S$108=TRUE))</f>
        <v>84</v>
      </c>
      <c r="D110" s="34">
        <f>COUNTA(Avanzada!$A$5:$A$108)-C110</f>
        <v>20</v>
      </c>
      <c r="E110" s="42">
        <f>C110/(C110+D110)</f>
        <v>0.807692307692308</v>
      </c>
    </row>
    <row r="114" ht="22" customHeight="1">
      <c r="B114" s="29" t="inlineStr">
        <is>
          <t>7  Calidad de la captura y controles de coherencia</t>
        </is>
      </c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</row>
    <row r="115" ht="30" customHeight="1">
      <c r="B115" s="31" t="inlineStr">
        <is>
          <t>Estado de captura (archivo original)</t>
        </is>
      </c>
      <c r="C115" s="32" t="inlineStr">
        <is>
          <t>Registros</t>
        </is>
      </c>
      <c r="D115" s="32" t="inlineStr">
        <is>
          <t>% del total</t>
        </is>
      </c>
    </row>
    <row r="116">
      <c r="B116" s="40" t="inlineStr">
        <is>
          <t>OK</t>
        </is>
      </c>
      <c r="C116" s="34">
        <f>COUNTIF(Avanzada!$T$5:$T$108,B116)</f>
        <v>0</v>
      </c>
      <c r="D116" s="35">
        <f>C116/COUNTA(Avanzada!$A$5:$A$108)</f>
        <v>0</v>
      </c>
    </row>
    <row r="117">
      <c r="B117" s="40" t="inlineStr">
        <is>
          <t>REVISAR</t>
        </is>
      </c>
      <c r="C117" s="34">
        <f>COUNTIF(Avanzada!$T$5:$T$108,B117)</f>
        <v>98</v>
      </c>
      <c r="D117" s="35">
        <f>C117/COUNTA(Avanzada!$A$5:$A$108)</f>
        <v>0.942307692307692</v>
      </c>
    </row>
    <row r="118">
      <c r="B118" s="40" t="inlineStr">
        <is>
          <t>ERROR_NUMERO</t>
        </is>
      </c>
      <c r="C118" s="34">
        <f>COUNTIF(Avanzada!$T$5:$T$108,B118)</f>
        <v>6</v>
      </c>
      <c r="D118" s="35">
        <f>C118/COUNTA(Avanzada!$A$5:$A$108)</f>
        <v>0.0576923076923077</v>
      </c>
    </row>
    <row r="119">
      <c r="B119" s="39" t="inlineStr">
        <is>
          <t>Las respuestas fueron digitalizadas por lectura automática (OCR) y todos los registros llevan marca de revisión.</t>
        </is>
      </c>
    </row>
    <row r="120">
      <c r="B120" s="39" t="inlineStr">
        <is>
          <t>Se recomienda contrastar con los formularios físicos (columna «Archivo» en Avanzada).</t>
        </is>
      </c>
    </row>
    <row r="122" ht="30" customHeight="1">
      <c r="B122" s="31" t="inlineStr">
        <is>
          <t>Control</t>
        </is>
      </c>
      <c r="C122" s="32" t="inlineStr">
        <is>
          <t>Resultado</t>
        </is>
      </c>
      <c r="D122" s="32" t="inlineStr">
        <is>
          <t>Estado</t>
        </is>
      </c>
    </row>
    <row r="123">
      <c r="B123" s="40" t="inlineStr">
        <is>
          <t>Registros en Avanzada</t>
        </is>
      </c>
      <c r="C123" s="34">
        <f>COUNTA(Avanzada!$A$5:$A$108)</f>
        <v>104</v>
      </c>
      <c r="D123" s="50" t="inlineStr"/>
      <c r="E123" s="51" t="n"/>
    </row>
    <row r="124">
      <c r="B124" s="40" t="inlineStr">
        <is>
          <t>Suma de grados = total de registros</t>
        </is>
      </c>
      <c r="C124" s="34">
        <f>C17</f>
        <v>104</v>
      </c>
      <c r="D124" s="52" t="str">
        <f>IF(C124=COUNTA(Avanzada!$A$5:$A$108),"✔ Coincide","✘ Revisar")</f>
        <v>✔ Coincide</v>
      </c>
      <c r="E124" s="51" t="n"/>
    </row>
    <row r="125">
      <c r="B125" s="40" t="inlineStr">
        <is>
          <t>Suma de P2 a P6 (cada una) = total</t>
        </is>
      </c>
      <c r="C125" s="34">
        <f>MIN(H28:H32)</f>
        <v>104</v>
      </c>
      <c r="D125" s="52" t="str">
        <f>IF(AND(MIN(H28:H32)=COUNTA(Avanzada!$A$5:$A$108),MAX(H28:H32)=COUNTA(Avanzada!$A$5:$A$108)),"✔ Coincide","✘ Revisar")</f>
        <v>✔ Coincide</v>
      </c>
      <c r="E125" s="51" t="n"/>
    </row>
    <row r="126">
      <c r="B126" s="40" t="inlineStr">
        <is>
          <t>Suma de P7 (Sí + No) = total</t>
        </is>
      </c>
      <c r="C126" s="34">
        <f>E88</f>
        <v>104</v>
      </c>
      <c r="D126" s="52" t="str">
        <f>IF(C126=COUNTA(Avanzada!$A$5:$A$108),"✔ Coincide","✘ Revisar")</f>
        <v>✔ Coincide</v>
      </c>
      <c r="E126" s="51" t="n"/>
    </row>
    <row r="127">
      <c r="B127" s="40" t="inlineStr">
        <is>
          <t>N.º de encuesta repetidos</t>
        </is>
      </c>
      <c r="C127" s="34">
        <f>COUNTA(Avanzada!$A$5:$A$108)-SUMPRODUCT(1/COUNTIF(Avanzada!$A$5:$A$108,Avanzada!$A$5:$A$108))</f>
        <v>0</v>
      </c>
      <c r="D127" s="52" t="str">
        <f>IF(C127=0,"✔ Sin repetidos","✘ Revisar")</f>
        <v>✔ Sin repetidos</v>
      </c>
      <c r="E127" s="51" t="n"/>
    </row>
    <row r="128">
      <c r="B128" s="40" t="inlineStr">
        <is>
          <t>Respuestas fuera de escala 1–5</t>
        </is>
      </c>
      <c r="C128" s="34">
        <f>COUNTIF(Avanzada!$D$5:$D$108,"&lt;1")+COUNTIF(Avanzada!$D$5:$D$108,"&gt;5")+COUNTIF(Avanzada!$E$5:$E$108,"&lt;1")+COUNTIF(Avanzada!$E$5:$E$108,"&gt;5")+COUNTIF(Avanzada!$F$5:$F$108,"&lt;1")+COUNTIF(Avanzada!$F$5:$F$108,"&gt;5")+COUNTIF(Avanzada!$G$5:$G$108,"&lt;1")+COUNTIF(Avanzada!$G$5:$G$108,"&gt;5")+COUNTIF(Avanzada!$H$5:$H$108,"&lt;1")+COUNTIF(Avanzada!$H$5:$H$108,"&gt;5")</f>
        <v>0</v>
      </c>
      <c r="D128" s="52" t="str">
        <f>IF(C128=0,"✔ Ninguna","✘ Revisar")</f>
        <v>✔ Ninguna</v>
      </c>
      <c r="E128" s="51" t="n"/>
    </row>
  </sheetData>
  <mergeCells count="6">
    <mergeCell ref="D125:E125"/>
    <mergeCell ref="D124:E124"/>
    <mergeCell ref="D128:E128"/>
    <mergeCell ref="D123:E123"/>
    <mergeCell ref="D127:E127"/>
    <mergeCell ref="D126:E126"/>
  </mergeCells>
  <conditionalFormatting sqref="C11:C16">
    <cfRule type="expression" priority="1" dxfId="0">
      <formula>C11&lt;15</formula>
    </cfRule>
  </conditionalFormatting>
  <conditionalFormatting sqref="C35:G39">
    <cfRule type="colorScale" priority="2">
      <colorScale>
        <cfvo type="num" val="0"/>
        <cfvo type="num" val="0.45"/>
        <color rgb="00FFFFFF"/>
        <color rgb="00A9C1D6"/>
      </colorScale>
    </cfRule>
  </conditionalFormatting>
  <conditionalFormatting sqref="D62:H67">
    <cfRule type="colorScale" priority="3">
      <colorScale>
        <cfvo type="num" val="2"/>
        <cfvo type="num" val="3"/>
        <cfvo type="num" val="4.2"/>
        <color rgb="00F1F5F9"/>
        <color rgb="00D5E1EC"/>
        <color rgb="007FA3C4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U10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13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11" customWidth="1" min="12" max="12"/>
    <col width="11" customWidth="1" min="13" max="13"/>
    <col width="13" customWidth="1" min="14" max="14"/>
    <col width="11" customWidth="1" min="15" max="15"/>
    <col width="11" customWidth="1" min="16" max="16"/>
    <col width="12" customWidth="1" min="17" max="17"/>
    <col width="11" customWidth="1" min="18" max="18"/>
    <col width="11" customWidth="1" min="19" max="19"/>
    <col width="16" customWidth="1" min="20" max="20"/>
    <col width="70" customWidth="1" min="21" max="21"/>
  </cols>
  <sheetData>
    <row r="1" ht="30" customHeight="1">
      <c r="A1" s="53" t="inlineStr">
        <is>
          <t>Respuestas individuales de la encuesta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</row>
    <row r="2" ht="20" customHeight="1">
      <c r="A2" s="27" t="str">
        <f>COUNTA(A5:A108)&amp;" registros · datos originales sin modificar · use los filtros de cada columna para ordenar, buscar y verificar"</f>
        <v>104 registros · datos originales sin modificar · use los filtros de cada columna para ordenar, buscar y verificar</v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</row>
    <row r="3" ht="18" customHeight="1">
      <c r="A3" s="54" t="inlineStr">
        <is>
          <t>IDENTIFICACIÓN</t>
        </is>
      </c>
      <c r="B3" s="55" t="n"/>
      <c r="C3" s="56" t="n"/>
      <c r="D3" s="54" t="inlineStr">
        <is>
          <t>ESCALA 1 A 5</t>
        </is>
      </c>
      <c r="E3" s="55" t="n"/>
      <c r="F3" s="55" t="n"/>
      <c r="G3" s="55" t="n"/>
      <c r="H3" s="56" t="n"/>
      <c r="I3" s="57" t="inlineStr">
        <is>
          <t>SÍ / NO</t>
        </is>
      </c>
      <c r="J3" s="54" t="inlineStr">
        <is>
          <t>ABIERTAS</t>
        </is>
      </c>
      <c r="K3" s="56" t="n"/>
      <c r="L3" s="54" t="inlineStr">
        <is>
          <t>CATEGORÍAS DE PROPUESTA</t>
        </is>
      </c>
      <c r="M3" s="55" t="n"/>
      <c r="N3" s="55" t="n"/>
      <c r="O3" s="55" t="n"/>
      <c r="P3" s="55" t="n"/>
      <c r="Q3" s="56" t="n"/>
      <c r="R3" s="54" t="inlineStr">
        <is>
          <t>¿RESPONDIÓ?</t>
        </is>
      </c>
      <c r="S3" s="56" t="n"/>
      <c r="T3" s="54" t="inlineStr">
        <is>
          <t>CONTROL DE CAPTURA</t>
        </is>
      </c>
      <c r="U3" s="56" t="n"/>
    </row>
    <row r="4" ht="50" customHeight="1">
      <c r="A4" s="32" t="inlineStr">
        <is>
          <t>N.º encuesta</t>
        </is>
      </c>
      <c r="B4" s="32" t="inlineStr">
        <is>
          <t>Archivo</t>
        </is>
      </c>
      <c r="C4" s="32" t="inlineStr">
        <is>
          <t>Grado</t>
        </is>
      </c>
      <c r="D4" s="32" t="inlineStr">
        <is>
          <t>P2 Disposición a votar</t>
        </is>
      </c>
      <c r="E4" s="32" t="inlineStr">
        <is>
          <t>P3 Escuchado por su representante</t>
        </is>
      </c>
      <c r="F4" s="32" t="inlineStr">
        <is>
          <t>P4 Escuchado por la institución</t>
        </is>
      </c>
      <c r="G4" s="32" t="inlineStr">
        <is>
          <t>P5 Facilidad para dar sugerencias</t>
        </is>
      </c>
      <c r="H4" s="32" t="inlineStr">
        <is>
          <t>P6 Satisfacción con actividades</t>
        </is>
      </c>
      <c r="I4" s="32" t="inlineStr">
        <is>
          <t>P7 ¿Espacio adecuado?</t>
        </is>
      </c>
      <c r="J4" s="32" t="inlineStr">
        <is>
          <t>P8 Respuesta abierta (texto)</t>
        </is>
      </c>
      <c r="K4" s="32" t="inlineStr">
        <is>
          <t>P9 Respuesta abierta (texto)</t>
        </is>
      </c>
      <c r="L4" s="32" t="inlineStr">
        <is>
          <t>Académico</t>
        </is>
      </c>
      <c r="M4" s="32" t="inlineStr">
        <is>
          <t>Social / Cultural</t>
        </is>
      </c>
      <c r="N4" s="32" t="inlineStr">
        <is>
          <t>Infraestructura</t>
        </is>
      </c>
      <c r="O4" s="32" t="inlineStr">
        <is>
          <t>Ambiental</t>
        </is>
      </c>
      <c r="P4" s="32" t="inlineStr">
        <is>
          <t>Salud mental</t>
        </is>
      </c>
      <c r="Q4" s="32" t="inlineStr">
        <is>
          <t>Convivencial</t>
        </is>
      </c>
      <c r="R4" s="32" t="inlineStr">
        <is>
          <t>P8 respondida</t>
        </is>
      </c>
      <c r="S4" s="32" t="inlineStr">
        <is>
          <t>P9 respondida</t>
        </is>
      </c>
      <c r="T4" s="32" t="inlineStr">
        <is>
          <t>Estado de captura</t>
        </is>
      </c>
      <c r="U4" s="32" t="inlineStr">
        <is>
          <t>Observaciones de captura (OCR)</t>
        </is>
      </c>
    </row>
    <row r="5" ht="17" customHeight="1">
      <c r="A5" s="50" t="n">
        <v>22</v>
      </c>
      <c r="B5" s="40" t="inlineStr">
        <is>
          <t>Encuesta.tiff</t>
        </is>
      </c>
      <c r="C5" s="50" t="n">
        <v>10</v>
      </c>
      <c r="D5" s="50" t="n">
        <v>4</v>
      </c>
      <c r="E5" s="50" t="n">
        <v>2</v>
      </c>
      <c r="F5" s="50" t="n">
        <v>2</v>
      </c>
      <c r="G5" s="50" t="n">
        <v>2</v>
      </c>
      <c r="H5" s="50" t="n">
        <v>4</v>
      </c>
      <c r="I5" s="50" t="inlineStr">
        <is>
          <t>No</t>
        </is>
      </c>
      <c r="J5" s="50" t="n"/>
      <c r="K5" s="50" t="n"/>
      <c r="L5" s="50" t="b">
        <v>0</v>
      </c>
      <c r="M5" s="50" t="b">
        <v>0</v>
      </c>
      <c r="N5" s="50" t="b">
        <v>0</v>
      </c>
      <c r="O5" s="50" t="b">
        <v>0</v>
      </c>
      <c r="P5" s="50" t="b">
        <v>0</v>
      </c>
      <c r="Q5" s="50" t="b">
        <v>0</v>
      </c>
      <c r="R5" s="50" t="b">
        <v>1</v>
      </c>
      <c r="S5" s="50" t="b">
        <v>0</v>
      </c>
      <c r="T5" s="40" t="inlineStr">
        <is>
          <t>REVISAR</t>
        </is>
      </c>
      <c r="U5" s="58" t="inlineStr">
        <is>
          <t>numero_encuesta:?; grado:?; p2:?; p3:?; p4:?; p5:?; p6:?</t>
        </is>
      </c>
    </row>
    <row r="6" ht="17" customHeight="1">
      <c r="A6" s="50" t="n">
        <v>21</v>
      </c>
      <c r="B6" s="40" t="inlineStr">
        <is>
          <t>Encuesta1.tiff</t>
        </is>
      </c>
      <c r="C6" s="50" t="n">
        <v>10</v>
      </c>
      <c r="D6" s="50" t="n">
        <v>4</v>
      </c>
      <c r="E6" s="50" t="n">
        <v>1</v>
      </c>
      <c r="F6" s="50" t="n">
        <v>4</v>
      </c>
      <c r="G6" s="50" t="n">
        <v>3</v>
      </c>
      <c r="H6" s="50" t="n">
        <v>3</v>
      </c>
      <c r="I6" s="50" t="inlineStr">
        <is>
          <t>No</t>
        </is>
      </c>
      <c r="J6" s="50" t="n"/>
      <c r="K6" s="50" t="n"/>
      <c r="L6" s="50" t="b">
        <v>0</v>
      </c>
      <c r="M6" s="50" t="b">
        <v>1</v>
      </c>
      <c r="N6" s="50" t="b">
        <v>0</v>
      </c>
      <c r="O6" s="50" t="b">
        <v>0</v>
      </c>
      <c r="P6" s="50" t="b">
        <v>0</v>
      </c>
      <c r="Q6" s="50" t="b">
        <v>1</v>
      </c>
      <c r="R6" s="50" t="b">
        <v>0</v>
      </c>
      <c r="S6" s="50" t="b">
        <v>0</v>
      </c>
      <c r="T6" s="40" t="inlineStr">
        <is>
          <t>REVISAR</t>
        </is>
      </c>
      <c r="U6" s="58" t="inlineStr">
        <is>
          <t>numero_encuesta:?; grado:?; p2:?; p3:?; p4:?; p5:?; p6:?</t>
        </is>
      </c>
    </row>
    <row r="7" ht="17" customHeight="1">
      <c r="A7" s="50" t="n">
        <v>38</v>
      </c>
      <c r="B7" s="40" t="inlineStr">
        <is>
          <t>Encuesta10.tiff</t>
        </is>
      </c>
      <c r="C7" s="50" t="n">
        <v>9</v>
      </c>
      <c r="D7" s="50" t="n">
        <v>5</v>
      </c>
      <c r="E7" s="50" t="n">
        <v>3</v>
      </c>
      <c r="F7" s="50" t="n">
        <v>2</v>
      </c>
      <c r="G7" s="50" t="n">
        <v>4</v>
      </c>
      <c r="H7" s="50" t="n">
        <v>4</v>
      </c>
      <c r="I7" s="50" t="inlineStr">
        <is>
          <t>Si</t>
        </is>
      </c>
      <c r="J7" s="50" t="n"/>
      <c r="K7" s="50" t="n"/>
      <c r="L7" s="50" t="b">
        <v>0</v>
      </c>
      <c r="M7" s="50" t="b">
        <v>0</v>
      </c>
      <c r="N7" s="50" t="b">
        <v>0</v>
      </c>
      <c r="O7" s="50" t="b">
        <v>0</v>
      </c>
      <c r="P7" s="50" t="b">
        <v>0</v>
      </c>
      <c r="Q7" s="50" t="b">
        <v>0</v>
      </c>
      <c r="R7" s="50" t="b">
        <v>1</v>
      </c>
      <c r="S7" s="50" t="b">
        <v>0</v>
      </c>
      <c r="T7" s="40" t="inlineStr">
        <is>
          <t>REVISAR</t>
        </is>
      </c>
      <c r="U7" s="58" t="inlineStr">
        <is>
          <t>numero_encuesta:?; grado:?; p2:?; p3:?; p4:?; p5:?; p6:?; p7:?</t>
        </is>
      </c>
    </row>
    <row r="8" ht="17" customHeight="1">
      <c r="A8" s="50" t="n">
        <v>36</v>
      </c>
      <c r="B8" s="40" t="inlineStr">
        <is>
          <t>Encuesta11.tiff</t>
        </is>
      </c>
      <c r="C8" s="50" t="n">
        <v>9</v>
      </c>
      <c r="D8" s="50" t="n">
        <v>4</v>
      </c>
      <c r="E8" s="50" t="n">
        <v>5</v>
      </c>
      <c r="F8" s="50" t="n">
        <v>3</v>
      </c>
      <c r="G8" s="50" t="n">
        <v>1</v>
      </c>
      <c r="H8" s="50" t="n">
        <v>1</v>
      </c>
      <c r="I8" s="50" t="inlineStr">
        <is>
          <t>No</t>
        </is>
      </c>
      <c r="J8" s="50" t="n"/>
      <c r="K8" s="50" t="n"/>
      <c r="L8" s="50" t="b">
        <v>0</v>
      </c>
      <c r="M8" s="50" t="b">
        <v>0</v>
      </c>
      <c r="N8" s="50" t="b">
        <v>0</v>
      </c>
      <c r="O8" s="50" t="b">
        <v>0</v>
      </c>
      <c r="P8" s="50" t="b">
        <v>0</v>
      </c>
      <c r="Q8" s="50" t="b">
        <v>0</v>
      </c>
      <c r="R8" s="50" t="b">
        <v>1</v>
      </c>
      <c r="S8" s="50" t="b">
        <v>0</v>
      </c>
      <c r="T8" s="40" t="inlineStr">
        <is>
          <t>REVISAR</t>
        </is>
      </c>
      <c r="U8" s="58" t="inlineStr">
        <is>
          <t>numero_encuesta:?; grado:?; p2:?; p3:?; p4:?; p5:?; p6:?</t>
        </is>
      </c>
    </row>
    <row r="9" ht="17" customHeight="1">
      <c r="A9" s="50" t="n">
        <v>34</v>
      </c>
      <c r="B9" s="40" t="inlineStr">
        <is>
          <t>Encuesta12.tiff</t>
        </is>
      </c>
      <c r="C9" s="50" t="n">
        <v>9</v>
      </c>
      <c r="D9" s="50" t="n">
        <v>5</v>
      </c>
      <c r="E9" s="50" t="n">
        <v>1</v>
      </c>
      <c r="F9" s="50" t="n">
        <v>1</v>
      </c>
      <c r="G9" s="50" t="n">
        <v>3</v>
      </c>
      <c r="H9" s="50" t="n">
        <v>4</v>
      </c>
      <c r="I9" s="50" t="inlineStr">
        <is>
          <t>Si</t>
        </is>
      </c>
      <c r="J9" s="50" t="n"/>
      <c r="K9" s="50" t="n"/>
      <c r="L9" s="50" t="b">
        <v>0</v>
      </c>
      <c r="M9" s="50" t="b">
        <v>1</v>
      </c>
      <c r="N9" s="50" t="b">
        <v>1</v>
      </c>
      <c r="O9" s="50" t="b">
        <v>0</v>
      </c>
      <c r="P9" s="50" t="b">
        <v>0</v>
      </c>
      <c r="Q9" s="50" t="b">
        <v>0</v>
      </c>
      <c r="R9" s="50" t="b">
        <v>1</v>
      </c>
      <c r="S9" s="50" t="b">
        <v>1</v>
      </c>
      <c r="T9" s="40" t="inlineStr">
        <is>
          <t>REVISAR</t>
        </is>
      </c>
      <c r="U9" s="58" t="inlineStr">
        <is>
          <t>grado:?; p2:?; p3:?; p4:?; p5:?; p6:?; p7:?</t>
        </is>
      </c>
    </row>
    <row r="10" ht="17" customHeight="1">
      <c r="A10" s="50" t="n">
        <v>35</v>
      </c>
      <c r="B10" s="40" t="inlineStr">
        <is>
          <t>Encuesta13.tiff</t>
        </is>
      </c>
      <c r="C10" s="50" t="n">
        <v>9</v>
      </c>
      <c r="D10" s="50" t="n">
        <v>4</v>
      </c>
      <c r="E10" s="50" t="n">
        <v>3</v>
      </c>
      <c r="F10" s="50" t="n">
        <v>1</v>
      </c>
      <c r="G10" s="50" t="n">
        <v>4</v>
      </c>
      <c r="H10" s="50" t="n">
        <v>3</v>
      </c>
      <c r="I10" s="50" t="inlineStr">
        <is>
          <t>Si</t>
        </is>
      </c>
      <c r="J10" s="50" t="n"/>
      <c r="K10" s="50" t="n"/>
      <c r="L10" s="50" t="b">
        <v>0</v>
      </c>
      <c r="M10" s="50" t="b">
        <v>1</v>
      </c>
      <c r="N10" s="50" t="b">
        <v>0</v>
      </c>
      <c r="O10" s="50" t="b">
        <v>0</v>
      </c>
      <c r="P10" s="50" t="b">
        <v>0</v>
      </c>
      <c r="Q10" s="50" t="b">
        <v>1</v>
      </c>
      <c r="R10" s="50" t="b">
        <v>1</v>
      </c>
      <c r="S10" s="50" t="b">
        <v>1</v>
      </c>
      <c r="T10" s="40" t="inlineStr">
        <is>
          <t>REVISAR</t>
        </is>
      </c>
      <c r="U10" s="58" t="inlineStr">
        <is>
          <t>numero_encuesta:?; grado:?; p2:?; p3:?; p4:?; p5:?; p6:?; p7:?</t>
        </is>
      </c>
    </row>
    <row r="11" ht="17" customHeight="1">
      <c r="A11" s="50" t="n">
        <v>33</v>
      </c>
      <c r="B11" s="40" t="inlineStr">
        <is>
          <t>Encuesta14.tiff</t>
        </is>
      </c>
      <c r="C11" s="50" t="n">
        <v>10</v>
      </c>
      <c r="D11" s="50" t="n">
        <v>4</v>
      </c>
      <c r="E11" s="50" t="n">
        <v>2</v>
      </c>
      <c r="F11" s="50" t="n">
        <v>4</v>
      </c>
      <c r="G11" s="50" t="n">
        <v>3</v>
      </c>
      <c r="H11" s="50" t="n">
        <v>3</v>
      </c>
      <c r="I11" s="50" t="inlineStr">
        <is>
          <t>No</t>
        </is>
      </c>
      <c r="J11" s="50" t="n"/>
      <c r="K11" s="50" t="n"/>
      <c r="L11" s="50" t="b">
        <v>0</v>
      </c>
      <c r="M11" s="50" t="b">
        <v>0</v>
      </c>
      <c r="N11" s="50" t="b">
        <v>0</v>
      </c>
      <c r="O11" s="50" t="b">
        <v>0</v>
      </c>
      <c r="P11" s="50" t="b">
        <v>0</v>
      </c>
      <c r="Q11" s="50" t="b">
        <v>0</v>
      </c>
      <c r="R11" s="50" t="b">
        <v>1</v>
      </c>
      <c r="S11" s="50" t="b">
        <v>0</v>
      </c>
      <c r="T11" s="40" t="inlineStr">
        <is>
          <t>REVISAR</t>
        </is>
      </c>
      <c r="U11" s="58" t="inlineStr">
        <is>
          <t>grado:?; p2:?; p3:?; p4:?; p5:?; p6:?</t>
        </is>
      </c>
    </row>
    <row r="12" ht="17" customHeight="1">
      <c r="A12" s="50" t="n">
        <v>32</v>
      </c>
      <c r="B12" s="40" t="inlineStr">
        <is>
          <t>Encuesta15.tiff</t>
        </is>
      </c>
      <c r="C12" s="50" t="n">
        <v>10</v>
      </c>
      <c r="D12" s="50" t="n">
        <v>5</v>
      </c>
      <c r="E12" s="50" t="n">
        <v>2</v>
      </c>
      <c r="F12" s="50" t="n">
        <v>3</v>
      </c>
      <c r="G12" s="50" t="n">
        <v>3</v>
      </c>
      <c r="H12" s="50" t="n">
        <v>3</v>
      </c>
      <c r="I12" s="50" t="inlineStr">
        <is>
          <t>Si</t>
        </is>
      </c>
      <c r="J12" s="50" t="n"/>
      <c r="K12" s="50" t="n"/>
      <c r="L12" s="50" t="b">
        <v>0</v>
      </c>
      <c r="M12" s="50" t="b">
        <v>0</v>
      </c>
      <c r="N12" s="50" t="b">
        <v>0</v>
      </c>
      <c r="O12" s="50" t="b">
        <v>0</v>
      </c>
      <c r="P12" s="50" t="b">
        <v>0</v>
      </c>
      <c r="Q12" s="50" t="b">
        <v>0</v>
      </c>
      <c r="R12" s="50" t="b">
        <v>1</v>
      </c>
      <c r="S12" s="50" t="b">
        <v>0</v>
      </c>
      <c r="T12" s="40" t="inlineStr">
        <is>
          <t>REVISAR</t>
        </is>
      </c>
      <c r="U12" s="58" t="inlineStr">
        <is>
          <t>numero_encuesta:?; grado:?; p2:?; p3:?; p4:?; p5:?; p6:?; p7:?</t>
        </is>
      </c>
    </row>
    <row r="13" ht="17" customHeight="1">
      <c r="A13" s="50" t="n">
        <v>31</v>
      </c>
      <c r="B13" s="40" t="inlineStr">
        <is>
          <t>Encuesta16.tiff</t>
        </is>
      </c>
      <c r="C13" s="50" t="n">
        <v>9</v>
      </c>
      <c r="D13" s="50" t="n">
        <v>4</v>
      </c>
      <c r="E13" s="50" t="n">
        <v>2</v>
      </c>
      <c r="F13" s="50" t="n">
        <v>2</v>
      </c>
      <c r="G13" s="50" t="n">
        <v>3</v>
      </c>
      <c r="H13" s="50" t="n">
        <v>4</v>
      </c>
      <c r="I13" s="50" t="inlineStr">
        <is>
          <t>Si</t>
        </is>
      </c>
      <c r="J13" s="50" t="n"/>
      <c r="K13" s="50" t="n"/>
      <c r="L13" s="50" t="b">
        <v>0</v>
      </c>
      <c r="M13" s="50" t="b">
        <v>0</v>
      </c>
      <c r="N13" s="50" t="b">
        <v>0</v>
      </c>
      <c r="O13" s="50" t="b">
        <v>0</v>
      </c>
      <c r="P13" s="50" t="b">
        <v>0</v>
      </c>
      <c r="Q13" s="50" t="b">
        <v>0</v>
      </c>
      <c r="R13" s="50" t="b">
        <v>1</v>
      </c>
      <c r="S13" s="50" t="b">
        <v>0</v>
      </c>
      <c r="T13" s="40" t="inlineStr">
        <is>
          <t>REVISAR</t>
        </is>
      </c>
      <c r="U13" s="58" t="inlineStr">
        <is>
          <t>numero_encuesta:?; grado:?; p2:?; p3:?; p4:?; p5:?; p6:?; p7:?</t>
        </is>
      </c>
    </row>
    <row r="14" ht="17" customHeight="1">
      <c r="A14" s="50" t="n">
        <v>2</v>
      </c>
      <c r="B14" s="40" t="inlineStr">
        <is>
          <t>Encuesta17.tiff</t>
        </is>
      </c>
      <c r="C14" s="50" t="n">
        <v>11</v>
      </c>
      <c r="D14" s="50" t="n">
        <v>5</v>
      </c>
      <c r="E14" s="50" t="n">
        <v>4</v>
      </c>
      <c r="F14" s="50" t="n">
        <v>5</v>
      </c>
      <c r="G14" s="50" t="n">
        <v>5</v>
      </c>
      <c r="H14" s="50" t="n">
        <v>5</v>
      </c>
      <c r="I14" s="50" t="inlineStr">
        <is>
          <t>Si</t>
        </is>
      </c>
      <c r="J14" s="50" t="n"/>
      <c r="K14" s="50" t="n"/>
      <c r="L14" s="50" t="b">
        <v>1</v>
      </c>
      <c r="M14" s="50" t="b">
        <v>0</v>
      </c>
      <c r="N14" s="50" t="b">
        <v>0</v>
      </c>
      <c r="O14" s="50" t="b">
        <v>0</v>
      </c>
      <c r="P14" s="50" t="b">
        <v>0</v>
      </c>
      <c r="Q14" s="50" t="b">
        <v>0</v>
      </c>
      <c r="R14" s="50" t="b">
        <v>0</v>
      </c>
      <c r="S14" s="50" t="b">
        <v>1</v>
      </c>
      <c r="T14" s="40" t="inlineStr">
        <is>
          <t>REVISAR</t>
        </is>
      </c>
      <c r="U14" s="58" t="inlineStr">
        <is>
          <t>numero_encuesta:?; grado:?; p2:?; p3:?; p4:?; p5:?; p6:?; p7:?</t>
        </is>
      </c>
    </row>
    <row r="15" ht="17" customHeight="1">
      <c r="A15" s="50" t="n">
        <v>1</v>
      </c>
      <c r="B15" s="40" t="inlineStr">
        <is>
          <t>Encuesta18.tiff</t>
        </is>
      </c>
      <c r="C15" s="50" t="n">
        <v>10</v>
      </c>
      <c r="D15" s="50" t="n">
        <v>5</v>
      </c>
      <c r="E15" s="50" t="n">
        <v>4</v>
      </c>
      <c r="F15" s="50" t="n">
        <v>5</v>
      </c>
      <c r="G15" s="50" t="n">
        <v>5</v>
      </c>
      <c r="H15" s="50" t="n">
        <v>5</v>
      </c>
      <c r="I15" s="50" t="inlineStr">
        <is>
          <t>Si</t>
        </is>
      </c>
      <c r="J15" s="50" t="n"/>
      <c r="K15" s="50" t="n"/>
      <c r="L15" s="50" t="b">
        <v>1</v>
      </c>
      <c r="M15" s="50" t="b">
        <v>0</v>
      </c>
      <c r="N15" s="50" t="b">
        <v>0</v>
      </c>
      <c r="O15" s="50" t="b">
        <v>0</v>
      </c>
      <c r="P15" s="50" t="b">
        <v>0</v>
      </c>
      <c r="Q15" s="50" t="b">
        <v>1</v>
      </c>
      <c r="R15" s="50" t="b">
        <v>1</v>
      </c>
      <c r="S15" s="50" t="b">
        <v>1</v>
      </c>
      <c r="T15" s="40" t="inlineStr">
        <is>
          <t>REVISAR</t>
        </is>
      </c>
      <c r="U15" s="58" t="inlineStr">
        <is>
          <t>numero_encuesta:?; grado:?; p2:?; p3:?; p4:?; p5:?; p6:?; p7:?</t>
        </is>
      </c>
    </row>
    <row r="16" ht="17" customHeight="1">
      <c r="A16" s="50" t="n">
        <v>4</v>
      </c>
      <c r="B16" s="40" t="inlineStr">
        <is>
          <t>Encuesta19.tiff</t>
        </is>
      </c>
      <c r="C16" s="50" t="n">
        <v>9</v>
      </c>
      <c r="D16" s="50" t="n">
        <v>5</v>
      </c>
      <c r="E16" s="50" t="n">
        <v>1</v>
      </c>
      <c r="F16" s="50" t="n">
        <v>3</v>
      </c>
      <c r="G16" s="50" t="n">
        <v>4</v>
      </c>
      <c r="H16" s="50" t="n">
        <v>1</v>
      </c>
      <c r="I16" s="50" t="inlineStr">
        <is>
          <t>No</t>
        </is>
      </c>
      <c r="J16" s="50" t="n"/>
      <c r="K16" s="50" t="n"/>
      <c r="L16" s="50" t="b">
        <v>1</v>
      </c>
      <c r="M16" s="50" t="b">
        <v>0</v>
      </c>
      <c r="N16" s="50" t="b">
        <v>0</v>
      </c>
      <c r="O16" s="50" t="b">
        <v>1</v>
      </c>
      <c r="P16" s="50" t="b">
        <v>0</v>
      </c>
      <c r="Q16" s="50" t="b">
        <v>1</v>
      </c>
      <c r="R16" s="50" t="b">
        <v>1</v>
      </c>
      <c r="S16" s="50" t="b">
        <v>1</v>
      </c>
      <c r="T16" s="40" t="inlineStr">
        <is>
          <t>REVISAR</t>
        </is>
      </c>
      <c r="U16" s="58" t="inlineStr">
        <is>
          <t>numero_encuesta:?; grado:?; p2:?; p3:?; p4:?; p5:?; p6:?</t>
        </is>
      </c>
    </row>
    <row r="17" ht="17" customHeight="1">
      <c r="A17" s="50" t="n">
        <v>23</v>
      </c>
      <c r="B17" s="40" t="inlineStr">
        <is>
          <t>Encuesta2.tiff</t>
        </is>
      </c>
      <c r="C17" s="50" t="n">
        <v>10</v>
      </c>
      <c r="D17" s="50" t="n">
        <v>5</v>
      </c>
      <c r="E17" s="50" t="n">
        <v>2</v>
      </c>
      <c r="F17" s="50" t="n">
        <v>3</v>
      </c>
      <c r="G17" s="50" t="n">
        <v>3</v>
      </c>
      <c r="H17" s="50" t="n">
        <v>3</v>
      </c>
      <c r="I17" s="50" t="inlineStr">
        <is>
          <t>Si</t>
        </is>
      </c>
      <c r="J17" s="50" t="n"/>
      <c r="K17" s="50" t="n"/>
      <c r="L17" s="50" t="b">
        <v>0</v>
      </c>
      <c r="M17" s="50" t="b">
        <v>0</v>
      </c>
      <c r="N17" s="50" t="b">
        <v>0</v>
      </c>
      <c r="O17" s="50" t="b">
        <v>0</v>
      </c>
      <c r="P17" s="50" t="b">
        <v>0</v>
      </c>
      <c r="Q17" s="50" t="b">
        <v>1</v>
      </c>
      <c r="R17" s="50" t="b">
        <v>0</v>
      </c>
      <c r="S17" s="50" t="b">
        <v>0</v>
      </c>
      <c r="T17" s="40" t="inlineStr">
        <is>
          <t>REVISAR</t>
        </is>
      </c>
      <c r="U17" s="58" t="inlineStr">
        <is>
          <t>numero_encuesta:?; grado:?; p2:?; p3:?; p4:?; p5:?; p6:?; p7:?</t>
        </is>
      </c>
    </row>
    <row r="18" ht="17" customHeight="1">
      <c r="A18" s="50" t="n">
        <v>5</v>
      </c>
      <c r="B18" s="40" t="inlineStr">
        <is>
          <t>Encuesta20.tiff</t>
        </is>
      </c>
      <c r="C18" s="50" t="n">
        <v>9</v>
      </c>
      <c r="D18" s="50" t="n">
        <v>5</v>
      </c>
      <c r="E18" s="50" t="n">
        <v>3</v>
      </c>
      <c r="F18" s="50" t="n">
        <v>2</v>
      </c>
      <c r="G18" s="50" t="n">
        <v>1</v>
      </c>
      <c r="H18" s="50" t="n">
        <v>3</v>
      </c>
      <c r="I18" s="50" t="inlineStr">
        <is>
          <t>Si</t>
        </is>
      </c>
      <c r="J18" s="50" t="n"/>
      <c r="K18" s="50" t="n"/>
      <c r="L18" s="50" t="b">
        <v>1</v>
      </c>
      <c r="M18" s="50" t="b">
        <v>1</v>
      </c>
      <c r="N18" s="50" t="b">
        <v>0</v>
      </c>
      <c r="O18" s="50" t="b">
        <v>0</v>
      </c>
      <c r="P18" s="50" t="b">
        <v>0</v>
      </c>
      <c r="Q18" s="50" t="b">
        <v>0</v>
      </c>
      <c r="R18" s="50" t="b">
        <v>1</v>
      </c>
      <c r="S18" s="50" t="b">
        <v>1</v>
      </c>
      <c r="T18" s="40" t="inlineStr">
        <is>
          <t>REVISAR</t>
        </is>
      </c>
      <c r="U18" s="58" t="inlineStr">
        <is>
          <t>numero_encuesta:?; grado:?; p2:?; p3:?; p4:?; p5:?; p6:?; p7:?</t>
        </is>
      </c>
    </row>
    <row r="19" ht="17" customHeight="1">
      <c r="A19" s="50" t="n">
        <v>6</v>
      </c>
      <c r="B19" s="40" t="inlineStr">
        <is>
          <t>Encuesta21.tiff</t>
        </is>
      </c>
      <c r="C19" s="50" t="n">
        <v>9</v>
      </c>
      <c r="D19" s="50" t="n">
        <v>5</v>
      </c>
      <c r="E19" s="50" t="n">
        <v>4</v>
      </c>
      <c r="F19" s="50" t="n">
        <v>4</v>
      </c>
      <c r="G19" s="50" t="n">
        <v>4</v>
      </c>
      <c r="H19" s="50" t="n">
        <v>4</v>
      </c>
      <c r="I19" s="50" t="inlineStr">
        <is>
          <t>Si</t>
        </is>
      </c>
      <c r="J19" s="50" t="n"/>
      <c r="K19" s="50" t="n"/>
      <c r="L19" s="50" t="b">
        <v>1</v>
      </c>
      <c r="M19" s="50" t="b">
        <v>0</v>
      </c>
      <c r="N19" s="50" t="b">
        <v>0</v>
      </c>
      <c r="O19" s="50" t="b">
        <v>0</v>
      </c>
      <c r="P19" s="50" t="b">
        <v>0</v>
      </c>
      <c r="Q19" s="50" t="b">
        <v>0</v>
      </c>
      <c r="R19" s="50" t="b">
        <v>0</v>
      </c>
      <c r="S19" s="50" t="b">
        <v>1</v>
      </c>
      <c r="T19" s="40" t="inlineStr">
        <is>
          <t>REVISAR</t>
        </is>
      </c>
      <c r="U19" s="58" t="inlineStr">
        <is>
          <t>grado:?; p2:?; p3:?; p4:?; p5:?; p6:?; p7:?</t>
        </is>
      </c>
    </row>
    <row r="20" ht="17" customHeight="1">
      <c r="A20" s="50" t="n">
        <v>3</v>
      </c>
      <c r="B20" s="40" t="inlineStr">
        <is>
          <t>Encuesta22.tiff</t>
        </is>
      </c>
      <c r="C20" s="50" t="n">
        <v>11</v>
      </c>
      <c r="D20" s="50" t="n">
        <v>4</v>
      </c>
      <c r="E20" s="50" t="n">
        <v>4</v>
      </c>
      <c r="F20" s="50" t="n">
        <v>5</v>
      </c>
      <c r="G20" s="50" t="n">
        <v>5</v>
      </c>
      <c r="H20" s="50" t="n">
        <v>4</v>
      </c>
      <c r="I20" s="50" t="inlineStr">
        <is>
          <t>Si</t>
        </is>
      </c>
      <c r="J20" s="50" t="n"/>
      <c r="K20" s="50" t="n"/>
      <c r="L20" s="50" t="b">
        <v>1</v>
      </c>
      <c r="M20" s="50" t="b">
        <v>0</v>
      </c>
      <c r="N20" s="50" t="b">
        <v>0</v>
      </c>
      <c r="O20" s="50" t="b">
        <v>0</v>
      </c>
      <c r="P20" s="50" t="b">
        <v>0</v>
      </c>
      <c r="Q20" s="50" t="b">
        <v>0</v>
      </c>
      <c r="R20" s="50" t="b">
        <v>0</v>
      </c>
      <c r="S20" s="50" t="b">
        <v>0</v>
      </c>
      <c r="T20" s="40" t="inlineStr">
        <is>
          <t>REVISAR</t>
        </is>
      </c>
      <c r="U20" s="58" t="inlineStr">
        <is>
          <t>numero_encuesta:?; grado:?; p2:?; p3:?; p4:?; p5:?; p6:?; p7:?</t>
        </is>
      </c>
    </row>
    <row r="21" ht="17" customHeight="1">
      <c r="A21" s="50" t="n">
        <v>10</v>
      </c>
      <c r="B21" s="40" t="inlineStr">
        <is>
          <t>Encuesta23.tiff</t>
        </is>
      </c>
      <c r="C21" s="50" t="n">
        <v>11</v>
      </c>
      <c r="D21" s="50" t="n">
        <v>5</v>
      </c>
      <c r="E21" s="50" t="n">
        <v>1</v>
      </c>
      <c r="F21" s="50" t="n">
        <v>1</v>
      </c>
      <c r="G21" s="50" t="n">
        <v>1</v>
      </c>
      <c r="H21" s="50" t="n">
        <v>3</v>
      </c>
      <c r="I21" s="50" t="inlineStr">
        <is>
          <t>No</t>
        </is>
      </c>
      <c r="J21" s="50" t="n"/>
      <c r="K21" s="50" t="n"/>
      <c r="L21" s="50" t="b">
        <v>0</v>
      </c>
      <c r="M21" s="50" t="b">
        <v>1</v>
      </c>
      <c r="N21" s="50" t="b">
        <v>0</v>
      </c>
      <c r="O21" s="50" t="b">
        <v>0</v>
      </c>
      <c r="P21" s="50" t="b">
        <v>0</v>
      </c>
      <c r="Q21" s="50" t="b">
        <v>0</v>
      </c>
      <c r="R21" s="50" t="b">
        <v>1</v>
      </c>
      <c r="S21" s="50" t="b">
        <v>1</v>
      </c>
      <c r="T21" s="40" t="inlineStr">
        <is>
          <t>REVISAR</t>
        </is>
      </c>
      <c r="U21" s="58" t="inlineStr">
        <is>
          <t>numero_encuesta:?; grado:?; p2:?; p3:?; p4:?; p5:?; p6:?</t>
        </is>
      </c>
    </row>
    <row r="22" ht="17" customHeight="1">
      <c r="A22" s="50" t="n">
        <v>11</v>
      </c>
      <c r="B22" s="40" t="inlineStr">
        <is>
          <t>Encuesta24.tiff</t>
        </is>
      </c>
      <c r="C22" s="50" t="n">
        <v>11</v>
      </c>
      <c r="D22" s="50" t="n">
        <v>1</v>
      </c>
      <c r="E22" s="50" t="n">
        <v>4</v>
      </c>
      <c r="F22" s="50" t="n">
        <v>2</v>
      </c>
      <c r="G22" s="50" t="n">
        <v>4</v>
      </c>
      <c r="H22" s="50" t="n">
        <v>2</v>
      </c>
      <c r="I22" s="50" t="inlineStr">
        <is>
          <t>No</t>
        </is>
      </c>
      <c r="J22" s="50" t="n"/>
      <c r="K22" s="50" t="n"/>
      <c r="L22" s="50" t="b">
        <v>0</v>
      </c>
      <c r="M22" s="50" t="b">
        <v>1</v>
      </c>
      <c r="N22" s="50" t="b">
        <v>0</v>
      </c>
      <c r="O22" s="50" t="b">
        <v>0</v>
      </c>
      <c r="P22" s="50" t="b">
        <v>1</v>
      </c>
      <c r="Q22" s="50" t="b">
        <v>1</v>
      </c>
      <c r="R22" s="50" t="b">
        <v>1</v>
      </c>
      <c r="S22" s="50" t="b">
        <v>1</v>
      </c>
      <c r="T22" s="40" t="inlineStr">
        <is>
          <t>REVISAR</t>
        </is>
      </c>
      <c r="U22" s="58" t="inlineStr">
        <is>
          <t>numero_encuesta:?; grado:?; p2:?; p3:?; p4:?; p5:?; p6:?</t>
        </is>
      </c>
    </row>
    <row r="23" ht="17" customHeight="1">
      <c r="A23" s="50" t="n">
        <v>12</v>
      </c>
      <c r="B23" s="40" t="inlineStr">
        <is>
          <t>Encuesta25.tiff</t>
        </is>
      </c>
      <c r="C23" s="50" t="n">
        <v>11</v>
      </c>
      <c r="D23" s="50" t="n">
        <v>5</v>
      </c>
      <c r="E23" s="50" t="n">
        <v>1</v>
      </c>
      <c r="F23" s="50" t="n">
        <v>1</v>
      </c>
      <c r="G23" s="50" t="n">
        <v>1</v>
      </c>
      <c r="H23" s="50" t="n">
        <v>2</v>
      </c>
      <c r="I23" s="50" t="inlineStr">
        <is>
          <t>No</t>
        </is>
      </c>
      <c r="J23" s="50" t="n"/>
      <c r="K23" s="50" t="n"/>
      <c r="L23" s="50" t="b">
        <v>1</v>
      </c>
      <c r="M23" s="50" t="b">
        <v>0</v>
      </c>
      <c r="N23" s="50" t="b">
        <v>0</v>
      </c>
      <c r="O23" s="50" t="b">
        <v>0</v>
      </c>
      <c r="P23" s="50" t="b">
        <v>0</v>
      </c>
      <c r="Q23" s="50" t="b">
        <v>0</v>
      </c>
      <c r="R23" s="50" t="b">
        <v>1</v>
      </c>
      <c r="S23" s="50" t="b">
        <v>1</v>
      </c>
      <c r="T23" s="40" t="inlineStr">
        <is>
          <t>REVISAR</t>
        </is>
      </c>
      <c r="U23" s="58" t="inlineStr">
        <is>
          <t>numero_encuesta:?; grado:?; p2:?; p3:?; p4:?; p5:?; p6:?</t>
        </is>
      </c>
    </row>
    <row r="24" ht="17" customHeight="1">
      <c r="A24" s="50" t="n">
        <v>9</v>
      </c>
      <c r="B24" s="40" t="inlineStr">
        <is>
          <t>Encuesta26.tiff</t>
        </is>
      </c>
      <c r="C24" s="50" t="n">
        <v>10</v>
      </c>
      <c r="D24" s="50" t="n">
        <v>5</v>
      </c>
      <c r="E24" s="50" t="n">
        <v>3</v>
      </c>
      <c r="F24" s="50" t="n">
        <v>4</v>
      </c>
      <c r="G24" s="50" t="n">
        <v>3</v>
      </c>
      <c r="H24" s="50" t="n">
        <v>4</v>
      </c>
      <c r="I24" s="50" t="inlineStr">
        <is>
          <t>Si</t>
        </is>
      </c>
      <c r="J24" s="50" t="n"/>
      <c r="K24" s="50" t="n"/>
      <c r="L24" s="50" t="b">
        <v>0</v>
      </c>
      <c r="M24" s="50" t="b">
        <v>0</v>
      </c>
      <c r="N24" s="50" t="b">
        <v>0</v>
      </c>
      <c r="O24" s="50" t="b">
        <v>1</v>
      </c>
      <c r="P24" s="50" t="b">
        <v>0</v>
      </c>
      <c r="Q24" s="50" t="b">
        <v>0</v>
      </c>
      <c r="R24" s="50" t="b">
        <v>1</v>
      </c>
      <c r="S24" s="50" t="b">
        <v>1</v>
      </c>
      <c r="T24" s="40" t="inlineStr">
        <is>
          <t>REVISAR</t>
        </is>
      </c>
      <c r="U24" s="58" t="inlineStr">
        <is>
          <t>numero_encuesta:?; grado:?; p2:?; p3:?; p4:?; p5:?; p6:?; p7:?</t>
        </is>
      </c>
    </row>
    <row r="25" ht="17" customHeight="1">
      <c r="A25" s="50" t="n">
        <v>13</v>
      </c>
      <c r="B25" s="40" t="inlineStr">
        <is>
          <t>Encuesta27.tiff</t>
        </is>
      </c>
      <c r="C25" s="50" t="n">
        <v>11</v>
      </c>
      <c r="D25" s="50" t="n">
        <v>1</v>
      </c>
      <c r="E25" s="50" t="n">
        <v>1</v>
      </c>
      <c r="F25" s="50" t="n">
        <v>1</v>
      </c>
      <c r="G25" s="50" t="n">
        <v>5</v>
      </c>
      <c r="H25" s="50" t="n">
        <v>3</v>
      </c>
      <c r="I25" s="50" t="inlineStr">
        <is>
          <t>No</t>
        </is>
      </c>
      <c r="J25" s="50" t="n"/>
      <c r="K25" s="50" t="n"/>
      <c r="L25" s="50" t="b">
        <v>0</v>
      </c>
      <c r="M25" s="50" t="b">
        <v>0</v>
      </c>
      <c r="N25" s="50" t="b">
        <v>0</v>
      </c>
      <c r="O25" s="50" t="b">
        <v>0</v>
      </c>
      <c r="P25" s="50" t="b">
        <v>1</v>
      </c>
      <c r="Q25" s="50" t="b">
        <v>0</v>
      </c>
      <c r="R25" s="50" t="b">
        <v>1</v>
      </c>
      <c r="S25" s="50" t="b">
        <v>1</v>
      </c>
      <c r="T25" s="40" t="inlineStr">
        <is>
          <t>REVISAR</t>
        </is>
      </c>
      <c r="U25" s="58" t="inlineStr">
        <is>
          <t>numero_encuesta:?; grado:?; p2:?; p3:?; p4:?; p5:?; p6:?</t>
        </is>
      </c>
    </row>
    <row r="26" ht="17" customHeight="1">
      <c r="A26" s="50" t="n">
        <v>116</v>
      </c>
      <c r="B26" s="40" t="inlineStr">
        <is>
          <t>Encuesta28.tiff</t>
        </is>
      </c>
      <c r="C26" s="50" t="n">
        <v>11</v>
      </c>
      <c r="D26" s="50" t="n">
        <v>4</v>
      </c>
      <c r="E26" s="50" t="n">
        <v>3</v>
      </c>
      <c r="F26" s="50" t="n">
        <v>4</v>
      </c>
      <c r="G26" s="50" t="n">
        <v>2</v>
      </c>
      <c r="H26" s="50" t="n">
        <v>2</v>
      </c>
      <c r="I26" s="50" t="inlineStr">
        <is>
          <t>No</t>
        </is>
      </c>
      <c r="J26" s="50" t="n"/>
      <c r="K26" s="50" t="n"/>
      <c r="L26" s="50" t="b">
        <v>0</v>
      </c>
      <c r="M26" s="50" t="b">
        <v>0</v>
      </c>
      <c r="N26" s="50" t="b">
        <v>1</v>
      </c>
      <c r="O26" s="50" t="b">
        <v>0</v>
      </c>
      <c r="P26" s="50" t="b">
        <v>0</v>
      </c>
      <c r="Q26" s="50" t="b">
        <v>0</v>
      </c>
      <c r="R26" s="50" t="b">
        <v>1</v>
      </c>
      <c r="S26" s="50" t="b">
        <v>1</v>
      </c>
      <c r="T26" s="40" t="inlineStr">
        <is>
          <t>REVISAR</t>
        </is>
      </c>
      <c r="U26" s="58" t="inlineStr">
        <is>
          <t>grado:?; p2:?; p3:?; p4:?; p5:?; p6:?</t>
        </is>
      </c>
    </row>
    <row r="27" ht="17" customHeight="1">
      <c r="A27" s="50" t="n">
        <v>117</v>
      </c>
      <c r="B27" s="40" t="inlineStr">
        <is>
          <t>Encuesta29.tiff</t>
        </is>
      </c>
      <c r="C27" s="50" t="n">
        <v>11</v>
      </c>
      <c r="D27" s="50" t="n">
        <v>1</v>
      </c>
      <c r="E27" s="50" t="n">
        <v>1</v>
      </c>
      <c r="F27" s="50" t="n">
        <v>1</v>
      </c>
      <c r="G27" s="50" t="n">
        <v>1</v>
      </c>
      <c r="H27" s="50" t="n">
        <v>1</v>
      </c>
      <c r="I27" s="50" t="inlineStr">
        <is>
          <t>No</t>
        </is>
      </c>
      <c r="J27" s="50" t="n"/>
      <c r="K27" s="50" t="n"/>
      <c r="L27" s="50" t="b">
        <v>0</v>
      </c>
      <c r="M27" s="50" t="b">
        <v>0</v>
      </c>
      <c r="N27" s="50" t="b">
        <v>0</v>
      </c>
      <c r="O27" s="50" t="b">
        <v>0</v>
      </c>
      <c r="P27" s="50" t="b">
        <v>1</v>
      </c>
      <c r="Q27" s="50" t="b">
        <v>0</v>
      </c>
      <c r="R27" s="50" t="b">
        <v>1</v>
      </c>
      <c r="S27" s="50" t="b">
        <v>1</v>
      </c>
      <c r="T27" s="40" t="inlineStr">
        <is>
          <t>REVISAR</t>
        </is>
      </c>
      <c r="U27" s="58" t="inlineStr">
        <is>
          <t>numero_encuesta:?; grado:?; p2:?; p3:?; p4:?; p5:?; p6:?</t>
        </is>
      </c>
    </row>
    <row r="28" ht="17" customHeight="1">
      <c r="A28" s="50" t="n">
        <v>24</v>
      </c>
      <c r="B28" s="40" t="inlineStr">
        <is>
          <t>Encuesta3.tiff</t>
        </is>
      </c>
      <c r="C28" s="50" t="n">
        <v>10</v>
      </c>
      <c r="D28" s="50" t="n">
        <v>3</v>
      </c>
      <c r="E28" s="50" t="n">
        <v>2</v>
      </c>
      <c r="F28" s="50" t="n">
        <v>1</v>
      </c>
      <c r="G28" s="50" t="n">
        <v>2</v>
      </c>
      <c r="H28" s="50" t="n">
        <v>2</v>
      </c>
      <c r="I28" s="50" t="inlineStr">
        <is>
          <t>Si</t>
        </is>
      </c>
      <c r="J28" s="50" t="n"/>
      <c r="K28" s="50" t="n"/>
      <c r="L28" s="50" t="b">
        <v>0</v>
      </c>
      <c r="M28" s="50" t="b">
        <v>1</v>
      </c>
      <c r="N28" s="50" t="b">
        <v>1</v>
      </c>
      <c r="O28" s="50" t="b">
        <v>0</v>
      </c>
      <c r="P28" s="50" t="b">
        <v>1</v>
      </c>
      <c r="Q28" s="50" t="b">
        <v>0</v>
      </c>
      <c r="R28" s="50" t="b">
        <v>1</v>
      </c>
      <c r="S28" s="50" t="b">
        <v>1</v>
      </c>
      <c r="T28" s="40" t="inlineStr">
        <is>
          <t>REVISAR</t>
        </is>
      </c>
      <c r="U28" s="58" t="inlineStr">
        <is>
          <t>numero_encuesta:?; grado:?; p2:?; p3:?; p4:?; p5:?; p6:?; p7:?</t>
        </is>
      </c>
    </row>
    <row r="29" ht="17" customHeight="1">
      <c r="A29" s="50" t="n">
        <v>8</v>
      </c>
      <c r="B29" s="40" t="inlineStr">
        <is>
          <t>Encuesta30.tiff</t>
        </is>
      </c>
      <c r="C29" s="50" t="n">
        <v>8</v>
      </c>
      <c r="D29" s="50" t="n">
        <v>4</v>
      </c>
      <c r="E29" s="50" t="n">
        <v>2</v>
      </c>
      <c r="F29" s="50" t="n">
        <v>3</v>
      </c>
      <c r="G29" s="50" t="n">
        <v>4</v>
      </c>
      <c r="H29" s="50" t="n">
        <v>5</v>
      </c>
      <c r="I29" s="50" t="inlineStr">
        <is>
          <t>No</t>
        </is>
      </c>
      <c r="J29" s="50" t="n"/>
      <c r="K29" s="50" t="n"/>
      <c r="L29" s="50" t="b">
        <v>1</v>
      </c>
      <c r="M29" s="50" t="b">
        <v>0</v>
      </c>
      <c r="N29" s="50" t="b">
        <v>0</v>
      </c>
      <c r="O29" s="50" t="b">
        <v>0</v>
      </c>
      <c r="P29" s="50" t="b">
        <v>0</v>
      </c>
      <c r="Q29" s="50" t="b">
        <v>0</v>
      </c>
      <c r="R29" s="50" t="b">
        <v>1</v>
      </c>
      <c r="S29" s="50" t="b">
        <v>1</v>
      </c>
      <c r="T29" s="40" t="inlineStr">
        <is>
          <t>REVISAR</t>
        </is>
      </c>
      <c r="U29" s="58" t="inlineStr">
        <is>
          <t>grado:?; p2:?; p3:?; p4:?; p5:?; p6:?</t>
        </is>
      </c>
    </row>
    <row r="30" ht="17" customHeight="1">
      <c r="A30" s="50" t="n">
        <v>7</v>
      </c>
      <c r="B30" s="40" t="inlineStr">
        <is>
          <t>Encuesta31.tiff</t>
        </is>
      </c>
      <c r="C30" s="50" t="n">
        <v>8</v>
      </c>
      <c r="D30" s="50" t="n">
        <v>4</v>
      </c>
      <c r="E30" s="50" t="n">
        <v>1</v>
      </c>
      <c r="F30" s="50" t="n">
        <v>2</v>
      </c>
      <c r="G30" s="50" t="n">
        <v>3</v>
      </c>
      <c r="H30" s="50" t="n">
        <v>4</v>
      </c>
      <c r="I30" s="50" t="inlineStr">
        <is>
          <t>Si</t>
        </is>
      </c>
      <c r="J30" s="50" t="n"/>
      <c r="K30" s="50" t="n"/>
      <c r="L30" s="50" t="b">
        <v>0</v>
      </c>
      <c r="M30" s="50" t="b">
        <v>0</v>
      </c>
      <c r="N30" s="50" t="b">
        <v>1</v>
      </c>
      <c r="O30" s="50" t="b">
        <v>0</v>
      </c>
      <c r="P30" s="50" t="b">
        <v>0</v>
      </c>
      <c r="Q30" s="50" t="b">
        <v>0</v>
      </c>
      <c r="R30" s="50" t="b">
        <v>1</v>
      </c>
      <c r="S30" s="50" t="b">
        <v>1</v>
      </c>
      <c r="T30" s="40" t="inlineStr">
        <is>
          <t>REVISAR</t>
        </is>
      </c>
      <c r="U30" s="58" t="inlineStr">
        <is>
          <t>numero_encuesta:?; grado:?; p2:?; p3:?; p4:?; p5:?; p6:?; p7:?</t>
        </is>
      </c>
    </row>
    <row r="31" ht="17" customHeight="1">
      <c r="A31" s="50" t="n">
        <v>108</v>
      </c>
      <c r="B31" s="40" t="inlineStr">
        <is>
          <t>Encuesta32.tiff</t>
        </is>
      </c>
      <c r="C31" s="50" t="n">
        <v>10</v>
      </c>
      <c r="D31" s="50" t="n">
        <v>5</v>
      </c>
      <c r="E31" s="50" t="n">
        <v>4</v>
      </c>
      <c r="F31" s="50" t="n">
        <v>1</v>
      </c>
      <c r="G31" s="50" t="n">
        <v>3</v>
      </c>
      <c r="H31" s="50" t="n">
        <v>2</v>
      </c>
      <c r="I31" s="50" t="inlineStr">
        <is>
          <t>Si</t>
        </is>
      </c>
      <c r="J31" s="50" t="n"/>
      <c r="K31" s="50" t="n"/>
      <c r="L31" s="50" t="b">
        <v>0</v>
      </c>
      <c r="M31" s="50" t="b">
        <v>0</v>
      </c>
      <c r="N31" s="50" t="b">
        <v>0</v>
      </c>
      <c r="O31" s="50" t="b">
        <v>0</v>
      </c>
      <c r="P31" s="50" t="b">
        <v>0</v>
      </c>
      <c r="Q31" s="50" t="b">
        <v>0</v>
      </c>
      <c r="R31" s="50" t="b">
        <v>1</v>
      </c>
      <c r="S31" s="50" t="b">
        <v>0</v>
      </c>
      <c r="T31" s="40" t="inlineStr">
        <is>
          <t>REVISAR</t>
        </is>
      </c>
      <c r="U31" s="58" t="inlineStr">
        <is>
          <t>numero_encuesta:?; grado:?; p2:?; p3:?; p4:?; p5:?; p6:?; p7:?</t>
        </is>
      </c>
    </row>
    <row r="32" ht="17" customHeight="1">
      <c r="A32" s="50" t="n">
        <v>106</v>
      </c>
      <c r="B32" s="40" t="inlineStr">
        <is>
          <t>Encuesta33.tiff</t>
        </is>
      </c>
      <c r="C32" s="50" t="n">
        <v>10</v>
      </c>
      <c r="D32" s="50" t="n">
        <v>2</v>
      </c>
      <c r="E32" s="50" t="n">
        <v>2</v>
      </c>
      <c r="F32" s="50" t="n">
        <v>1</v>
      </c>
      <c r="G32" s="50" t="n">
        <v>1</v>
      </c>
      <c r="H32" s="50" t="n">
        <v>2</v>
      </c>
      <c r="I32" s="50" t="inlineStr">
        <is>
          <t>No</t>
        </is>
      </c>
      <c r="J32" s="50" t="n"/>
      <c r="K32" s="50" t="n"/>
      <c r="L32" s="50" t="b">
        <v>0</v>
      </c>
      <c r="M32" s="50" t="b">
        <v>0</v>
      </c>
      <c r="N32" s="50" t="b">
        <v>0</v>
      </c>
      <c r="O32" s="50" t="b">
        <v>0</v>
      </c>
      <c r="P32" s="50" t="b">
        <v>0</v>
      </c>
      <c r="Q32" s="50" t="b">
        <v>0</v>
      </c>
      <c r="R32" s="50" t="b">
        <v>1</v>
      </c>
      <c r="S32" s="50" t="b">
        <v>0</v>
      </c>
      <c r="T32" s="40" t="inlineStr">
        <is>
          <t>REVISAR</t>
        </is>
      </c>
      <c r="U32" s="58" t="inlineStr">
        <is>
          <t>numero_encuesta:?; grado:?; p2:?; p3:?; p4:?; p5:?; p6:?</t>
        </is>
      </c>
    </row>
    <row r="33" ht="17" customHeight="1">
      <c r="A33" s="50" t="n">
        <v>107</v>
      </c>
      <c r="B33" s="40" t="inlineStr">
        <is>
          <t>Encuesta34.tiff</t>
        </is>
      </c>
      <c r="C33" s="50" t="n">
        <v>8</v>
      </c>
      <c r="D33" s="50" t="n">
        <v>3</v>
      </c>
      <c r="E33" s="50" t="n">
        <v>2</v>
      </c>
      <c r="F33" s="50" t="n">
        <v>2</v>
      </c>
      <c r="G33" s="50" t="n">
        <v>2</v>
      </c>
      <c r="H33" s="50" t="n">
        <v>3</v>
      </c>
      <c r="I33" s="50" t="inlineStr">
        <is>
          <t>No</t>
        </is>
      </c>
      <c r="J33" s="50" t="n"/>
      <c r="K33" s="50" t="n"/>
      <c r="L33" s="50" t="b">
        <v>0</v>
      </c>
      <c r="M33" s="50" t="b">
        <v>0</v>
      </c>
      <c r="N33" s="50" t="b">
        <v>0</v>
      </c>
      <c r="O33" s="50" t="b">
        <v>0</v>
      </c>
      <c r="P33" s="50" t="b">
        <v>0</v>
      </c>
      <c r="Q33" s="50" t="b">
        <v>0</v>
      </c>
      <c r="R33" s="50" t="b">
        <v>0</v>
      </c>
      <c r="S33" s="50" t="b">
        <v>0</v>
      </c>
      <c r="T33" s="40" t="inlineStr">
        <is>
          <t>REVISAR</t>
        </is>
      </c>
      <c r="U33" s="58" t="inlineStr">
        <is>
          <t>numero_encuesta:?; grado:?; p2:?; p3:?; p4:?; p5:?; p6:?</t>
        </is>
      </c>
    </row>
    <row r="34" ht="17" customHeight="1">
      <c r="A34" s="50" t="n">
        <v>105</v>
      </c>
      <c r="B34" s="40" t="inlineStr">
        <is>
          <t>Encuesta35.tiff</t>
        </is>
      </c>
      <c r="C34" s="50" t="n">
        <v>8</v>
      </c>
      <c r="D34" s="50" t="n">
        <v>2</v>
      </c>
      <c r="E34" s="50" t="n">
        <v>2</v>
      </c>
      <c r="F34" s="50" t="n">
        <v>1</v>
      </c>
      <c r="G34" s="50" t="n">
        <v>1</v>
      </c>
      <c r="H34" s="50" t="n">
        <v>3</v>
      </c>
      <c r="I34" s="50" t="inlineStr">
        <is>
          <t>No</t>
        </is>
      </c>
      <c r="J34" s="50" t="n"/>
      <c r="K34" s="50" t="n"/>
      <c r="L34" s="50" t="b">
        <v>1</v>
      </c>
      <c r="M34" s="50" t="b">
        <v>1</v>
      </c>
      <c r="N34" s="50" t="b">
        <v>0</v>
      </c>
      <c r="O34" s="50" t="b">
        <v>0</v>
      </c>
      <c r="P34" s="50" t="b">
        <v>0</v>
      </c>
      <c r="Q34" s="50" t="b">
        <v>0</v>
      </c>
      <c r="R34" s="50" t="b">
        <v>1</v>
      </c>
      <c r="S34" s="50" t="b">
        <v>1</v>
      </c>
      <c r="T34" s="40" t="inlineStr">
        <is>
          <t>REVISAR</t>
        </is>
      </c>
      <c r="U34" s="58" t="inlineStr">
        <is>
          <t>numero_encuesta:?; grado:?; p2:?; p3:?; p4:?; p5:?; p6:?</t>
        </is>
      </c>
    </row>
    <row r="35" ht="17" customHeight="1">
      <c r="A35" s="50" t="n">
        <v>104</v>
      </c>
      <c r="B35" s="40" t="inlineStr">
        <is>
          <t>Encuesta36.tiff</t>
        </is>
      </c>
      <c r="C35" s="50" t="n">
        <v>11</v>
      </c>
      <c r="D35" s="50" t="n">
        <v>5</v>
      </c>
      <c r="E35" s="50" t="n">
        <v>2</v>
      </c>
      <c r="F35" s="50" t="n">
        <v>2</v>
      </c>
      <c r="G35" s="50" t="n">
        <v>3</v>
      </c>
      <c r="H35" s="50" t="n">
        <v>4</v>
      </c>
      <c r="I35" s="50" t="inlineStr">
        <is>
          <t>Si</t>
        </is>
      </c>
      <c r="J35" s="50" t="n"/>
      <c r="K35" s="50" t="n"/>
      <c r="L35" s="50" t="b">
        <v>0</v>
      </c>
      <c r="M35" s="50" t="b">
        <v>1</v>
      </c>
      <c r="N35" s="50" t="b">
        <v>0</v>
      </c>
      <c r="O35" s="50" t="b">
        <v>0</v>
      </c>
      <c r="P35" s="50" t="b">
        <v>0</v>
      </c>
      <c r="Q35" s="50" t="b">
        <v>0</v>
      </c>
      <c r="R35" s="50" t="b">
        <v>1</v>
      </c>
      <c r="S35" s="50" t="b">
        <v>1</v>
      </c>
      <c r="T35" s="40" t="inlineStr">
        <is>
          <t>REVISAR</t>
        </is>
      </c>
      <c r="U35" s="58" t="inlineStr">
        <is>
          <t>numero_encuesta:?; grado:?; p2:?; p3:?; p4:?; p5:?; p6:?; p7:?</t>
        </is>
      </c>
    </row>
    <row r="36" ht="17" customHeight="1">
      <c r="A36" s="50" t="n">
        <v>103</v>
      </c>
      <c r="B36" s="40" t="inlineStr">
        <is>
          <t>Encuesta37.tiff</t>
        </is>
      </c>
      <c r="C36" s="50" t="n">
        <v>11</v>
      </c>
      <c r="D36" s="50" t="n">
        <v>5</v>
      </c>
      <c r="E36" s="50" t="n">
        <v>5</v>
      </c>
      <c r="F36" s="50" t="n">
        <v>5</v>
      </c>
      <c r="G36" s="50" t="n">
        <v>4</v>
      </c>
      <c r="H36" s="50" t="n">
        <v>4</v>
      </c>
      <c r="I36" s="50" t="inlineStr">
        <is>
          <t>No</t>
        </is>
      </c>
      <c r="J36" s="50" t="n"/>
      <c r="K36" s="50" t="n"/>
      <c r="L36" s="50" t="b">
        <v>0</v>
      </c>
      <c r="M36" s="50" t="b">
        <v>0</v>
      </c>
      <c r="N36" s="50" t="b">
        <v>0</v>
      </c>
      <c r="O36" s="50" t="b">
        <v>0</v>
      </c>
      <c r="P36" s="50" t="b">
        <v>1</v>
      </c>
      <c r="Q36" s="50" t="b">
        <v>1</v>
      </c>
      <c r="R36" s="50" t="b">
        <v>1</v>
      </c>
      <c r="S36" s="50" t="b">
        <v>1</v>
      </c>
      <c r="T36" s="40" t="inlineStr">
        <is>
          <t>REVISAR</t>
        </is>
      </c>
      <c r="U36" s="58" t="inlineStr">
        <is>
          <t>numero_encuesta:?; grado:?; p2:?; p3:?; p4:?; p5:?; p6:?</t>
        </is>
      </c>
    </row>
    <row r="37" ht="17" customHeight="1">
      <c r="A37" s="50" t="n">
        <v>102</v>
      </c>
      <c r="B37" s="40" t="inlineStr">
        <is>
          <t>Encuesta38.tiff</t>
        </is>
      </c>
      <c r="C37" s="50" t="n">
        <v>8</v>
      </c>
      <c r="D37" s="50" t="n">
        <v>3</v>
      </c>
      <c r="E37" s="50" t="n">
        <v>2</v>
      </c>
      <c r="F37" s="50" t="n">
        <v>4</v>
      </c>
      <c r="G37" s="50" t="n">
        <v>4</v>
      </c>
      <c r="H37" s="50" t="n">
        <v>3</v>
      </c>
      <c r="I37" s="50" t="inlineStr">
        <is>
          <t>No</t>
        </is>
      </c>
      <c r="J37" s="50" t="n"/>
      <c r="K37" s="50" t="n"/>
      <c r="L37" s="50" t="b">
        <v>0</v>
      </c>
      <c r="M37" s="50" t="b">
        <v>0</v>
      </c>
      <c r="N37" s="50" t="b">
        <v>0</v>
      </c>
      <c r="O37" s="50" t="b">
        <v>0</v>
      </c>
      <c r="P37" s="50" t="b">
        <v>0</v>
      </c>
      <c r="Q37" s="50" t="b">
        <v>0</v>
      </c>
      <c r="R37" s="50" t="b">
        <v>1</v>
      </c>
      <c r="S37" s="50" t="b">
        <v>0</v>
      </c>
      <c r="T37" s="40" t="inlineStr">
        <is>
          <t>REVISAR</t>
        </is>
      </c>
      <c r="U37" s="58" t="inlineStr">
        <is>
          <t>grado:?; p2:?; p3:?; p4:?; p5:?; p6:?</t>
        </is>
      </c>
    </row>
    <row r="38" ht="17" customHeight="1">
      <c r="A38" s="50" t="n">
        <v>101</v>
      </c>
      <c r="B38" s="40" t="inlineStr">
        <is>
          <t>Encuesta39.tiff</t>
        </is>
      </c>
      <c r="C38" s="50" t="n">
        <v>8</v>
      </c>
      <c r="D38" s="50" t="n">
        <v>4</v>
      </c>
      <c r="E38" s="50" t="n">
        <v>3</v>
      </c>
      <c r="F38" s="50" t="n">
        <v>3</v>
      </c>
      <c r="G38" s="50" t="n">
        <v>3</v>
      </c>
      <c r="H38" s="50" t="n">
        <v>4</v>
      </c>
      <c r="I38" s="50" t="inlineStr">
        <is>
          <t>No</t>
        </is>
      </c>
      <c r="J38" s="50" t="n"/>
      <c r="K38" s="50" t="n"/>
      <c r="L38" s="50" t="b">
        <v>0</v>
      </c>
      <c r="M38" s="50" t="b">
        <v>0</v>
      </c>
      <c r="N38" s="50" t="b">
        <v>0</v>
      </c>
      <c r="O38" s="50" t="b">
        <v>0</v>
      </c>
      <c r="P38" s="50" t="b">
        <v>0</v>
      </c>
      <c r="Q38" s="50" t="b">
        <v>1</v>
      </c>
      <c r="R38" s="50" t="b">
        <v>1</v>
      </c>
      <c r="S38" s="50" t="b">
        <v>0</v>
      </c>
      <c r="T38" s="40" t="inlineStr">
        <is>
          <t>REVISAR</t>
        </is>
      </c>
      <c r="U38" s="58" t="inlineStr">
        <is>
          <t>numero_encuesta:?; grado:?; p2:?; p3:?; p4:?; p5:?; p6:?</t>
        </is>
      </c>
    </row>
    <row r="39" ht="17" customHeight="1">
      <c r="A39" s="50" t="n">
        <v>25</v>
      </c>
      <c r="B39" s="40" t="inlineStr">
        <is>
          <t>Encuesta4.tiff</t>
        </is>
      </c>
      <c r="C39" s="50" t="n">
        <v>10</v>
      </c>
      <c r="D39" s="50" t="n">
        <v>5</v>
      </c>
      <c r="E39" s="50" t="n">
        <v>2</v>
      </c>
      <c r="F39" s="50" t="n">
        <v>2</v>
      </c>
      <c r="G39" s="50" t="n">
        <v>3</v>
      </c>
      <c r="H39" s="50" t="n">
        <v>4</v>
      </c>
      <c r="I39" s="50" t="inlineStr">
        <is>
          <t>No</t>
        </is>
      </c>
      <c r="J39" s="50" t="n"/>
      <c r="K39" s="50" t="n"/>
      <c r="L39" s="50" t="b">
        <v>0</v>
      </c>
      <c r="M39" s="50" t="b">
        <v>0</v>
      </c>
      <c r="N39" s="50" t="b">
        <v>0</v>
      </c>
      <c r="O39" s="50" t="b">
        <v>0</v>
      </c>
      <c r="P39" s="50" t="b">
        <v>0</v>
      </c>
      <c r="Q39" s="50" t="b">
        <v>0</v>
      </c>
      <c r="R39" s="50" t="b">
        <v>1</v>
      </c>
      <c r="S39" s="50" t="b">
        <v>0</v>
      </c>
      <c r="T39" s="40" t="inlineStr">
        <is>
          <t>REVISAR</t>
        </is>
      </c>
      <c r="U39" s="58" t="inlineStr">
        <is>
          <t>numero_encuesta:?; grado:?; p2:?; p3:?; p4:?; p5:?; p6:?</t>
        </is>
      </c>
    </row>
    <row r="40" ht="17" customHeight="1">
      <c r="A40" s="50" t="n">
        <v>100</v>
      </c>
      <c r="B40" s="40" t="inlineStr">
        <is>
          <t>Encuesta40.tiff</t>
        </is>
      </c>
      <c r="C40" s="50" t="n">
        <v>8</v>
      </c>
      <c r="D40" s="50" t="n">
        <v>2</v>
      </c>
      <c r="E40" s="50" t="n">
        <v>1</v>
      </c>
      <c r="F40" s="50" t="n">
        <v>4</v>
      </c>
      <c r="G40" s="50" t="n">
        <v>1</v>
      </c>
      <c r="H40" s="50" t="n">
        <v>4</v>
      </c>
      <c r="I40" s="50" t="inlineStr">
        <is>
          <t>No</t>
        </is>
      </c>
      <c r="J40" s="50" t="n"/>
      <c r="K40" s="50" t="n"/>
      <c r="L40" s="50" t="b">
        <v>0</v>
      </c>
      <c r="M40" s="50" t="b">
        <v>0</v>
      </c>
      <c r="N40" s="50" t="b">
        <v>0</v>
      </c>
      <c r="O40" s="50" t="b">
        <v>0</v>
      </c>
      <c r="P40" s="50" t="b">
        <v>0</v>
      </c>
      <c r="Q40" s="50" t="b">
        <v>0</v>
      </c>
      <c r="R40" s="50" t="b">
        <v>0</v>
      </c>
      <c r="S40" s="50" t="b">
        <v>0</v>
      </c>
      <c r="T40" s="40" t="inlineStr">
        <is>
          <t>REVISAR</t>
        </is>
      </c>
      <c r="U40" s="58" t="inlineStr">
        <is>
          <t>grado:?; p2:?; p3:?; p4:?; p5:?; p6:?</t>
        </is>
      </c>
    </row>
    <row r="41" ht="17" customHeight="1">
      <c r="A41" s="50" t="n">
        <v>115</v>
      </c>
      <c r="B41" s="40" t="inlineStr">
        <is>
          <t>Encuesta41.tiff</t>
        </is>
      </c>
      <c r="C41" s="50" t="n">
        <v>11</v>
      </c>
      <c r="D41" s="50" t="n">
        <v>3</v>
      </c>
      <c r="E41" s="50" t="n">
        <v>3</v>
      </c>
      <c r="F41" s="50" t="n">
        <v>3</v>
      </c>
      <c r="G41" s="50" t="n">
        <v>4</v>
      </c>
      <c r="H41" s="50" t="n">
        <v>5</v>
      </c>
      <c r="I41" s="50" t="inlineStr">
        <is>
          <t>No</t>
        </is>
      </c>
      <c r="J41" s="50" t="n"/>
      <c r="K41" s="50" t="n"/>
      <c r="L41" s="50" t="b">
        <v>0</v>
      </c>
      <c r="M41" s="50" t="b">
        <v>0</v>
      </c>
      <c r="N41" s="50" t="b">
        <v>1</v>
      </c>
      <c r="O41" s="50" t="b">
        <v>0</v>
      </c>
      <c r="P41" s="50" t="b">
        <v>0</v>
      </c>
      <c r="Q41" s="50" t="b">
        <v>0</v>
      </c>
      <c r="R41" s="50" t="b">
        <v>1</v>
      </c>
      <c r="S41" s="50" t="b">
        <v>1</v>
      </c>
      <c r="T41" s="40" t="inlineStr">
        <is>
          <t>REVISAR</t>
        </is>
      </c>
      <c r="U41" s="58" t="inlineStr">
        <is>
          <t>numero_encuesta:?; grado:?; p2:?; p3:?; p4:?; p5:?; p6:?</t>
        </is>
      </c>
    </row>
    <row r="42" ht="17" customHeight="1">
      <c r="A42" s="50" t="n">
        <v>114</v>
      </c>
      <c r="B42" s="40" t="inlineStr">
        <is>
          <t>Encuesta42.tiff</t>
        </is>
      </c>
      <c r="C42" s="50" t="n">
        <v>11</v>
      </c>
      <c r="D42" s="50" t="n">
        <v>4</v>
      </c>
      <c r="E42" s="50" t="n">
        <v>1</v>
      </c>
      <c r="F42" s="50" t="n">
        <v>2</v>
      </c>
      <c r="G42" s="50" t="n">
        <v>3</v>
      </c>
      <c r="H42" s="50" t="n">
        <v>2</v>
      </c>
      <c r="I42" s="50" t="inlineStr">
        <is>
          <t>No</t>
        </is>
      </c>
      <c r="J42" s="50" t="n"/>
      <c r="K42" s="50" t="n"/>
      <c r="L42" s="50" t="b">
        <v>0</v>
      </c>
      <c r="M42" s="50" t="b">
        <v>0</v>
      </c>
      <c r="N42" s="50" t="b">
        <v>0</v>
      </c>
      <c r="O42" s="50" t="b">
        <v>0</v>
      </c>
      <c r="P42" s="50" t="b">
        <v>0</v>
      </c>
      <c r="Q42" s="50" t="b">
        <v>1</v>
      </c>
      <c r="R42" s="50" t="b">
        <v>1</v>
      </c>
      <c r="S42" s="50" t="b">
        <v>1</v>
      </c>
      <c r="T42" s="40" t="inlineStr">
        <is>
          <t>REVISAR</t>
        </is>
      </c>
      <c r="U42" s="58" t="inlineStr">
        <is>
          <t>numero_encuesta:?; grado:?; p2:?; p3:?; p4:?; p5:?; p6:?</t>
        </is>
      </c>
    </row>
    <row r="43" ht="17" customHeight="1">
      <c r="A43" s="50" t="n">
        <v>113</v>
      </c>
      <c r="B43" s="40" t="inlineStr">
        <is>
          <t>Encuesta43.tiff</t>
        </is>
      </c>
      <c r="C43" s="50" t="n">
        <v>11</v>
      </c>
      <c r="D43" s="50" t="n">
        <v>5</v>
      </c>
      <c r="E43" s="50" t="n">
        <v>5</v>
      </c>
      <c r="F43" s="50" t="n">
        <v>5</v>
      </c>
      <c r="G43" s="50" t="n">
        <v>5</v>
      </c>
      <c r="H43" s="50" t="n">
        <v>5</v>
      </c>
      <c r="I43" s="50" t="inlineStr">
        <is>
          <t>No</t>
        </is>
      </c>
      <c r="J43" s="50" t="n"/>
      <c r="K43" s="50" t="n"/>
      <c r="L43" s="50" t="b">
        <v>0</v>
      </c>
      <c r="M43" s="50" t="b">
        <v>1</v>
      </c>
      <c r="N43" s="50" t="b">
        <v>0</v>
      </c>
      <c r="O43" s="50" t="b">
        <v>0</v>
      </c>
      <c r="P43" s="50" t="b">
        <v>0</v>
      </c>
      <c r="Q43" s="50" t="b">
        <v>0</v>
      </c>
      <c r="R43" s="50" t="b">
        <v>1</v>
      </c>
      <c r="S43" s="50" t="b">
        <v>1</v>
      </c>
      <c r="T43" s="40" t="inlineStr">
        <is>
          <t>REVISAR</t>
        </is>
      </c>
      <c r="U43" s="58" t="inlineStr">
        <is>
          <t>numero_encuesta:?; grado:?; p2:?; p3:?; p4:?; p5:?; p6:?</t>
        </is>
      </c>
    </row>
    <row r="44" ht="17" customHeight="1">
      <c r="A44" s="50" t="n">
        <v>112</v>
      </c>
      <c r="B44" s="40" t="inlineStr">
        <is>
          <t>Encuesta44.tiff</t>
        </is>
      </c>
      <c r="C44" s="50" t="n">
        <v>11</v>
      </c>
      <c r="D44" s="50" t="n">
        <v>5</v>
      </c>
      <c r="E44" s="50" t="n">
        <v>2</v>
      </c>
      <c r="F44" s="50" t="n">
        <v>3</v>
      </c>
      <c r="G44" s="50" t="n">
        <v>3</v>
      </c>
      <c r="H44" s="50" t="n">
        <v>4</v>
      </c>
      <c r="I44" s="50" t="inlineStr">
        <is>
          <t>No</t>
        </is>
      </c>
      <c r="J44" s="50" t="n"/>
      <c r="K44" s="50" t="n"/>
      <c r="L44" s="50" t="b">
        <v>0</v>
      </c>
      <c r="M44" s="50" t="b">
        <v>1</v>
      </c>
      <c r="N44" s="50" t="b">
        <v>0</v>
      </c>
      <c r="O44" s="50" t="b">
        <v>0</v>
      </c>
      <c r="P44" s="50" t="b">
        <v>0</v>
      </c>
      <c r="Q44" s="50" t="b">
        <v>0</v>
      </c>
      <c r="R44" s="50" t="b">
        <v>1</v>
      </c>
      <c r="S44" s="50" t="b">
        <v>1</v>
      </c>
      <c r="T44" s="40" t="inlineStr">
        <is>
          <t>REVISAR</t>
        </is>
      </c>
      <c r="U44" s="58" t="inlineStr">
        <is>
          <t>numero_encuesta:?; grado:?; p2:?; p3:?; p4:?; p5:?; p6:?</t>
        </is>
      </c>
    </row>
    <row r="45" ht="17" customHeight="1">
      <c r="A45" s="50" t="n">
        <v>111</v>
      </c>
      <c r="B45" s="40" t="inlineStr">
        <is>
          <t>Encuesta45.tiff</t>
        </is>
      </c>
      <c r="C45" s="50" t="n">
        <v>11</v>
      </c>
      <c r="D45" s="50" t="n">
        <v>5</v>
      </c>
      <c r="E45" s="50" t="n">
        <v>3</v>
      </c>
      <c r="F45" s="50" t="n">
        <v>3</v>
      </c>
      <c r="G45" s="50" t="n">
        <v>4</v>
      </c>
      <c r="H45" s="50" t="n">
        <v>4</v>
      </c>
      <c r="I45" s="50" t="inlineStr">
        <is>
          <t>No</t>
        </is>
      </c>
      <c r="J45" s="50" t="n"/>
      <c r="K45" s="50" t="n"/>
      <c r="L45" s="50" t="b">
        <v>0</v>
      </c>
      <c r="M45" s="50" t="b">
        <v>0</v>
      </c>
      <c r="N45" s="50" t="b">
        <v>0</v>
      </c>
      <c r="O45" s="50" t="b">
        <v>0</v>
      </c>
      <c r="P45" s="50" t="b">
        <v>0</v>
      </c>
      <c r="Q45" s="50" t="b">
        <v>1</v>
      </c>
      <c r="R45" s="50" t="b">
        <v>1</v>
      </c>
      <c r="S45" s="50" t="b">
        <v>1</v>
      </c>
      <c r="T45" s="40" t="inlineStr">
        <is>
          <t>ERROR_NUMERO</t>
        </is>
      </c>
      <c r="U45" s="58" t="inlineStr">
        <is>
          <t>numero_encuesta:?; grado:?; p2:?; p3:?; p4:?; p5:?; p6:?; Número de encuesta no detectado</t>
        </is>
      </c>
    </row>
    <row r="46" ht="17" customHeight="1">
      <c r="A46" s="50" t="n">
        <v>109</v>
      </c>
      <c r="B46" s="40" t="inlineStr">
        <is>
          <t>Encuesta46.tiff</t>
        </is>
      </c>
      <c r="C46" s="50" t="n">
        <v>10</v>
      </c>
      <c r="D46" s="50" t="n">
        <v>4</v>
      </c>
      <c r="E46" s="50" t="n">
        <v>3</v>
      </c>
      <c r="F46" s="50" t="n">
        <v>4</v>
      </c>
      <c r="G46" s="50" t="n">
        <v>3</v>
      </c>
      <c r="H46" s="50" t="n">
        <v>4</v>
      </c>
      <c r="I46" s="50" t="inlineStr">
        <is>
          <t>No</t>
        </is>
      </c>
      <c r="J46" s="50" t="n"/>
      <c r="K46" s="50" t="n"/>
      <c r="L46" s="50" t="b">
        <v>1</v>
      </c>
      <c r="M46" s="50" t="b">
        <v>0</v>
      </c>
      <c r="N46" s="50" t="b">
        <v>0</v>
      </c>
      <c r="O46" s="50" t="b">
        <v>0</v>
      </c>
      <c r="P46" s="50" t="b">
        <v>0</v>
      </c>
      <c r="Q46" s="50" t="b">
        <v>1</v>
      </c>
      <c r="R46" s="50" t="b">
        <v>1</v>
      </c>
      <c r="S46" s="50" t="b">
        <v>1</v>
      </c>
      <c r="T46" s="40" t="inlineStr">
        <is>
          <t>REVISAR</t>
        </is>
      </c>
      <c r="U46" s="58" t="inlineStr">
        <is>
          <t>numero_encuesta:?; grado:?; p2:?; p3:?; p4:?; p5:?; p6:?</t>
        </is>
      </c>
    </row>
    <row r="47" ht="17" customHeight="1">
      <c r="A47" s="50" t="n">
        <v>61</v>
      </c>
      <c r="B47" s="40" t="inlineStr">
        <is>
          <t>Encuesta47.tiff</t>
        </is>
      </c>
      <c r="C47" s="50" t="n">
        <v>9</v>
      </c>
      <c r="D47" s="50" t="n">
        <v>4</v>
      </c>
      <c r="E47" s="50" t="n">
        <v>1</v>
      </c>
      <c r="F47" s="50" t="n">
        <v>2</v>
      </c>
      <c r="G47" s="50" t="n">
        <v>2</v>
      </c>
      <c r="H47" s="50" t="n">
        <v>2</v>
      </c>
      <c r="I47" s="50" t="inlineStr">
        <is>
          <t>No</t>
        </is>
      </c>
      <c r="J47" s="50" t="n"/>
      <c r="K47" s="50" t="n"/>
      <c r="L47" s="50" t="b">
        <v>0</v>
      </c>
      <c r="M47" s="50" t="b">
        <v>1</v>
      </c>
      <c r="N47" s="50" t="b">
        <v>0</v>
      </c>
      <c r="O47" s="50" t="b">
        <v>0</v>
      </c>
      <c r="P47" s="50" t="b">
        <v>0</v>
      </c>
      <c r="Q47" s="50" t="b">
        <v>0</v>
      </c>
      <c r="R47" s="50" t="b">
        <v>1</v>
      </c>
      <c r="S47" s="50" t="b">
        <v>1</v>
      </c>
      <c r="T47" s="40" t="inlineStr">
        <is>
          <t>REVISAR</t>
        </is>
      </c>
      <c r="U47" s="58" t="inlineStr">
        <is>
          <t>numero_encuesta:?; grado:?; p2:?; p3:?; p4:?; p5:?; p6:?</t>
        </is>
      </c>
    </row>
    <row r="48" ht="17" customHeight="1">
      <c r="A48" s="50" t="n">
        <v>62</v>
      </c>
      <c r="B48" s="40" t="inlineStr">
        <is>
          <t>Encuesta48.tiff</t>
        </is>
      </c>
      <c r="C48" s="50" t="n">
        <v>10</v>
      </c>
      <c r="D48" s="50" t="n">
        <v>5</v>
      </c>
      <c r="E48" s="50" t="n">
        <v>1</v>
      </c>
      <c r="F48" s="50" t="n">
        <v>2</v>
      </c>
      <c r="G48" s="50" t="n">
        <v>1</v>
      </c>
      <c r="H48" s="50" t="n">
        <v>3</v>
      </c>
      <c r="I48" s="50" t="inlineStr">
        <is>
          <t>No</t>
        </is>
      </c>
      <c r="J48" s="50" t="n"/>
      <c r="K48" s="50" t="n"/>
      <c r="L48" s="50" t="b">
        <v>0</v>
      </c>
      <c r="M48" s="50" t="b">
        <v>1</v>
      </c>
      <c r="N48" s="50" t="b">
        <v>0</v>
      </c>
      <c r="O48" s="50" t="b">
        <v>0</v>
      </c>
      <c r="P48" s="50" t="b">
        <v>0</v>
      </c>
      <c r="Q48" s="50" t="b">
        <v>0</v>
      </c>
      <c r="R48" s="50" t="b">
        <v>1</v>
      </c>
      <c r="S48" s="50" t="b">
        <v>1</v>
      </c>
      <c r="T48" s="40" t="inlineStr">
        <is>
          <t>REVISAR</t>
        </is>
      </c>
      <c r="U48" s="58" t="inlineStr">
        <is>
          <t>grado:?; p2:?; p3:?; p4:?; p5:?; p6:?</t>
        </is>
      </c>
    </row>
    <row r="49" ht="17" customHeight="1">
      <c r="A49" s="50" t="n">
        <v>64</v>
      </c>
      <c r="B49" s="40" t="inlineStr">
        <is>
          <t>Encuesta49.tiff</t>
        </is>
      </c>
      <c r="C49" s="50" t="n">
        <v>6</v>
      </c>
      <c r="D49" s="50" t="n">
        <v>3</v>
      </c>
      <c r="E49" s="50" t="n">
        <v>1</v>
      </c>
      <c r="F49" s="50" t="n">
        <v>4</v>
      </c>
      <c r="G49" s="50" t="n">
        <v>3</v>
      </c>
      <c r="H49" s="50" t="n">
        <v>3</v>
      </c>
      <c r="I49" s="50" t="inlineStr">
        <is>
          <t>No</t>
        </is>
      </c>
      <c r="J49" s="50" t="n"/>
      <c r="K49" s="50" t="n"/>
      <c r="L49" s="50" t="b">
        <v>1</v>
      </c>
      <c r="M49" s="50" t="b">
        <v>1</v>
      </c>
      <c r="N49" s="50" t="b">
        <v>0</v>
      </c>
      <c r="O49" s="50" t="b">
        <v>0</v>
      </c>
      <c r="P49" s="50" t="b">
        <v>0</v>
      </c>
      <c r="Q49" s="50" t="b">
        <v>0</v>
      </c>
      <c r="R49" s="50" t="b">
        <v>1</v>
      </c>
      <c r="S49" s="50" t="b">
        <v>1</v>
      </c>
      <c r="T49" s="40" t="inlineStr">
        <is>
          <t>REVISAR</t>
        </is>
      </c>
      <c r="U49" s="58" t="inlineStr">
        <is>
          <t>numero_encuesta:?; grado:?; p2:?; p3:?; p4:?; p5:?; p6:?</t>
        </is>
      </c>
    </row>
    <row r="50" ht="17" customHeight="1">
      <c r="A50" s="50" t="n">
        <v>26</v>
      </c>
      <c r="B50" s="40" t="inlineStr">
        <is>
          <t>Encuesta5.tiff</t>
        </is>
      </c>
      <c r="C50" s="50" t="n">
        <v>8</v>
      </c>
      <c r="D50" s="50" t="n">
        <v>5</v>
      </c>
      <c r="E50" s="50" t="n">
        <v>1</v>
      </c>
      <c r="F50" s="50" t="n">
        <v>2</v>
      </c>
      <c r="G50" s="50" t="n">
        <v>1</v>
      </c>
      <c r="H50" s="50" t="n">
        <v>1</v>
      </c>
      <c r="I50" s="50" t="inlineStr">
        <is>
          <t>No</t>
        </is>
      </c>
      <c r="J50" s="50" t="n"/>
      <c r="K50" s="50" t="n"/>
      <c r="L50" s="50" t="b">
        <v>0</v>
      </c>
      <c r="M50" s="50" t="b">
        <v>1</v>
      </c>
      <c r="N50" s="50" t="b">
        <v>0</v>
      </c>
      <c r="O50" s="50" t="b">
        <v>1</v>
      </c>
      <c r="P50" s="50" t="b">
        <v>1</v>
      </c>
      <c r="Q50" s="50" t="b">
        <v>1</v>
      </c>
      <c r="R50" s="50" t="b">
        <v>1</v>
      </c>
      <c r="S50" s="50" t="b">
        <v>1</v>
      </c>
      <c r="T50" s="40" t="inlineStr">
        <is>
          <t>REVISAR</t>
        </is>
      </c>
      <c r="U50" s="58" t="inlineStr">
        <is>
          <t>grado:?; p2:?; p3:?; p4:?; p5:?; p6:?</t>
        </is>
      </c>
    </row>
    <row r="51" ht="17" customHeight="1">
      <c r="A51" s="50" t="n">
        <v>63</v>
      </c>
      <c r="B51" s="40" t="inlineStr">
        <is>
          <t>Encuesta50.tiff</t>
        </is>
      </c>
      <c r="C51" s="50" t="n">
        <v>6</v>
      </c>
      <c r="D51" s="50" t="n">
        <v>4</v>
      </c>
      <c r="E51" s="50" t="n">
        <v>3</v>
      </c>
      <c r="F51" s="50" t="n">
        <v>5</v>
      </c>
      <c r="G51" s="50" t="n">
        <v>3</v>
      </c>
      <c r="H51" s="50" t="n">
        <v>5</v>
      </c>
      <c r="I51" s="50" t="inlineStr">
        <is>
          <t>Si</t>
        </is>
      </c>
      <c r="J51" s="50" t="n"/>
      <c r="K51" s="50" t="n"/>
      <c r="L51" s="50" t="b">
        <v>0</v>
      </c>
      <c r="M51" s="50" t="b">
        <v>0</v>
      </c>
      <c r="N51" s="50" t="b">
        <v>0</v>
      </c>
      <c r="O51" s="50" t="b">
        <v>0</v>
      </c>
      <c r="P51" s="50" t="b">
        <v>0</v>
      </c>
      <c r="Q51" s="50" t="b">
        <v>0</v>
      </c>
      <c r="R51" s="50" t="b">
        <v>1</v>
      </c>
      <c r="S51" s="50" t="b">
        <v>0</v>
      </c>
      <c r="T51" s="40" t="inlineStr">
        <is>
          <t>REVISAR</t>
        </is>
      </c>
      <c r="U51" s="58" t="inlineStr">
        <is>
          <t>numero_encuesta:?; grado:?; p2:?; p3:?; p4:?; p5:?; p6:?; p7:?</t>
        </is>
      </c>
    </row>
    <row r="52" ht="17" customHeight="1">
      <c r="A52" s="50" t="n">
        <v>51</v>
      </c>
      <c r="B52" s="40" t="inlineStr">
        <is>
          <t>Encuesta51.tiff</t>
        </is>
      </c>
      <c r="C52" s="50" t="n">
        <v>8</v>
      </c>
      <c r="D52" s="50" t="n">
        <v>5</v>
      </c>
      <c r="E52" s="50" t="n">
        <v>5</v>
      </c>
      <c r="F52" s="50" t="n">
        <v>1</v>
      </c>
      <c r="G52" s="50" t="n">
        <v>2</v>
      </c>
      <c r="H52" s="50" t="n">
        <v>3</v>
      </c>
      <c r="I52" s="50" t="inlineStr">
        <is>
          <t>No</t>
        </is>
      </c>
      <c r="J52" s="50" t="n"/>
      <c r="K52" s="50" t="n"/>
      <c r="L52" s="50" t="b">
        <v>1</v>
      </c>
      <c r="M52" s="50" t="b">
        <v>0</v>
      </c>
      <c r="N52" s="50" t="b">
        <v>0</v>
      </c>
      <c r="O52" s="50" t="b">
        <v>0</v>
      </c>
      <c r="P52" s="50" t="b">
        <v>0</v>
      </c>
      <c r="Q52" s="50" t="b">
        <v>0</v>
      </c>
      <c r="R52" s="50" t="b">
        <v>1</v>
      </c>
      <c r="S52" s="50" t="b">
        <v>1</v>
      </c>
      <c r="T52" s="40" t="inlineStr">
        <is>
          <t>REVISAR</t>
        </is>
      </c>
      <c r="U52" s="58" t="inlineStr">
        <is>
          <t>numero_encuesta:?; grado:?; p2:?; p3:?; p4:?; p5:?; p6:?</t>
        </is>
      </c>
    </row>
    <row r="53" ht="17" customHeight="1">
      <c r="A53" s="50" t="n">
        <v>20</v>
      </c>
      <c r="B53" s="40" t="inlineStr">
        <is>
          <t>Encuesta52.tiff</t>
        </is>
      </c>
      <c r="C53" s="50" t="n">
        <v>8</v>
      </c>
      <c r="D53" s="50" t="n">
        <v>3</v>
      </c>
      <c r="E53" s="50" t="n">
        <v>4</v>
      </c>
      <c r="F53" s="50" t="n">
        <v>5</v>
      </c>
      <c r="G53" s="50" t="n">
        <v>4</v>
      </c>
      <c r="H53" s="50" t="n">
        <v>5</v>
      </c>
      <c r="I53" s="50" t="inlineStr">
        <is>
          <t>Si</t>
        </is>
      </c>
      <c r="J53" s="50" t="n"/>
      <c r="K53" s="50" t="n"/>
      <c r="L53" s="50" t="b">
        <v>0</v>
      </c>
      <c r="M53" s="50" t="b">
        <v>0</v>
      </c>
      <c r="N53" s="50" t="b">
        <v>0</v>
      </c>
      <c r="O53" s="50" t="b">
        <v>0</v>
      </c>
      <c r="P53" s="50" t="b">
        <v>0</v>
      </c>
      <c r="Q53" s="50" t="b">
        <v>1</v>
      </c>
      <c r="R53" s="50" t="b">
        <v>1</v>
      </c>
      <c r="S53" s="50" t="b">
        <v>1</v>
      </c>
      <c r="T53" s="40" t="inlineStr">
        <is>
          <t>REVISAR</t>
        </is>
      </c>
      <c r="U53" s="58" t="inlineStr">
        <is>
          <t>grado:?; p2:?; p3:?; p4:?; p5:?; p6:?; p7:?</t>
        </is>
      </c>
    </row>
    <row r="54" ht="17" customHeight="1">
      <c r="A54" s="50" t="n">
        <v>46</v>
      </c>
      <c r="B54" s="40" t="inlineStr">
        <is>
          <t>Encuesta53.tiff</t>
        </is>
      </c>
      <c r="C54" s="50" t="n">
        <v>8</v>
      </c>
      <c r="D54" s="50" t="n">
        <v>3</v>
      </c>
      <c r="E54" s="50" t="n">
        <v>4</v>
      </c>
      <c r="F54" s="50" t="n">
        <v>5</v>
      </c>
      <c r="G54" s="50" t="n">
        <v>3</v>
      </c>
      <c r="H54" s="50" t="n">
        <v>4</v>
      </c>
      <c r="I54" s="50" t="inlineStr">
        <is>
          <t>Si</t>
        </is>
      </c>
      <c r="J54" s="50" t="n"/>
      <c r="K54" s="50" t="n"/>
      <c r="L54" s="50" t="b">
        <v>1</v>
      </c>
      <c r="M54" s="50" t="b">
        <v>0</v>
      </c>
      <c r="N54" s="50" t="b">
        <v>0</v>
      </c>
      <c r="O54" s="50" t="b">
        <v>0</v>
      </c>
      <c r="P54" s="50" t="b">
        <v>0</v>
      </c>
      <c r="Q54" s="50" t="b">
        <v>0</v>
      </c>
      <c r="R54" s="50" t="b">
        <v>1</v>
      </c>
      <c r="S54" s="50" t="b">
        <v>1</v>
      </c>
      <c r="T54" s="40" t="inlineStr">
        <is>
          <t>REVISAR</t>
        </is>
      </c>
      <c r="U54" s="58" t="inlineStr">
        <is>
          <t>grado:?; p2:?; p3:?; p4:?; p5:?; p6:?; p7:?</t>
        </is>
      </c>
    </row>
    <row r="55" ht="17" customHeight="1">
      <c r="A55" s="50" t="n">
        <v>40</v>
      </c>
      <c r="B55" s="40" t="inlineStr">
        <is>
          <t>Encuesta54.tiff</t>
        </is>
      </c>
      <c r="C55" s="50" t="n">
        <v>8</v>
      </c>
      <c r="D55" s="50" t="n">
        <v>3</v>
      </c>
      <c r="E55" s="50" t="n">
        <v>2</v>
      </c>
      <c r="F55" s="50" t="n">
        <v>1</v>
      </c>
      <c r="G55" s="50" t="n">
        <v>2</v>
      </c>
      <c r="H55" s="50" t="n">
        <v>3</v>
      </c>
      <c r="I55" s="50" t="inlineStr">
        <is>
          <t>No</t>
        </is>
      </c>
      <c r="J55" s="50" t="n"/>
      <c r="K55" s="50" t="n"/>
      <c r="L55" s="50" t="b">
        <v>0</v>
      </c>
      <c r="M55" s="50" t="b">
        <v>1</v>
      </c>
      <c r="N55" s="50" t="b">
        <v>1</v>
      </c>
      <c r="O55" s="50" t="b">
        <v>0</v>
      </c>
      <c r="P55" s="50" t="b">
        <v>1</v>
      </c>
      <c r="Q55" s="50" t="b">
        <v>0</v>
      </c>
      <c r="R55" s="50" t="b">
        <v>1</v>
      </c>
      <c r="S55" s="50" t="b">
        <v>1</v>
      </c>
      <c r="T55" s="40" t="inlineStr">
        <is>
          <t>REVISAR</t>
        </is>
      </c>
      <c r="U55" s="58" t="inlineStr">
        <is>
          <t>grado:?; p2:?; p3:?; p4:?; p5:?; p6:?</t>
        </is>
      </c>
    </row>
    <row r="56" ht="17" customHeight="1">
      <c r="A56" s="50" t="n">
        <v>110</v>
      </c>
      <c r="B56" s="40" t="inlineStr">
        <is>
          <t>Encuesta55.tiff</t>
        </is>
      </c>
      <c r="C56" s="50" t="n">
        <v>8</v>
      </c>
      <c r="D56" s="50" t="n">
        <v>5</v>
      </c>
      <c r="E56" s="50" t="n">
        <v>4</v>
      </c>
      <c r="F56" s="50" t="n">
        <v>4</v>
      </c>
      <c r="G56" s="50" t="n">
        <v>5</v>
      </c>
      <c r="H56" s="50" t="n">
        <v>4</v>
      </c>
      <c r="I56" s="50" t="inlineStr">
        <is>
          <t>Si</t>
        </is>
      </c>
      <c r="J56" s="50" t="n"/>
      <c r="K56" s="50" t="n"/>
      <c r="L56" s="50" t="b">
        <v>0</v>
      </c>
      <c r="M56" s="50" t="b">
        <v>1</v>
      </c>
      <c r="N56" s="50" t="b">
        <v>0</v>
      </c>
      <c r="O56" s="50" t="b">
        <v>0</v>
      </c>
      <c r="P56" s="50" t="b">
        <v>0</v>
      </c>
      <c r="Q56" s="50" t="b">
        <v>0</v>
      </c>
      <c r="R56" s="50" t="b">
        <v>1</v>
      </c>
      <c r="S56" s="50" t="b">
        <v>1</v>
      </c>
      <c r="T56" s="40" t="inlineStr">
        <is>
          <t>REVISAR</t>
        </is>
      </c>
      <c r="U56" s="58" t="inlineStr">
        <is>
          <t>grado:?; p2:?; p3:?; p4:?; p5:?; p6:?; p7:?</t>
        </is>
      </c>
    </row>
    <row r="57" ht="17" customHeight="1">
      <c r="A57" s="50" t="n">
        <v>69</v>
      </c>
      <c r="B57" s="40" t="inlineStr">
        <is>
          <t>Encuesta56.tiff</t>
        </is>
      </c>
      <c r="C57" s="50" t="n">
        <v>8</v>
      </c>
      <c r="D57" s="50" t="n">
        <v>4</v>
      </c>
      <c r="E57" s="50" t="n">
        <v>2</v>
      </c>
      <c r="F57" s="50" t="n">
        <v>4</v>
      </c>
      <c r="G57" s="50" t="n">
        <v>3</v>
      </c>
      <c r="H57" s="50" t="n">
        <v>1</v>
      </c>
      <c r="I57" s="50" t="inlineStr">
        <is>
          <t>Si</t>
        </is>
      </c>
      <c r="J57" s="50" t="n"/>
      <c r="K57" s="50" t="n"/>
      <c r="L57" s="50" t="b">
        <v>1</v>
      </c>
      <c r="M57" s="50" t="b">
        <v>1</v>
      </c>
      <c r="N57" s="50" t="b">
        <v>0</v>
      </c>
      <c r="O57" s="50" t="b">
        <v>0</v>
      </c>
      <c r="P57" s="50" t="b">
        <v>0</v>
      </c>
      <c r="Q57" s="50" t="b">
        <v>1</v>
      </c>
      <c r="R57" s="50" t="b">
        <v>1</v>
      </c>
      <c r="S57" s="50" t="b">
        <v>1</v>
      </c>
      <c r="T57" s="40" t="inlineStr">
        <is>
          <t>REVISAR</t>
        </is>
      </c>
      <c r="U57" s="58" t="inlineStr">
        <is>
          <t>grado:?; p2:?; p3:?; p4:?; p5:?; p6:?; p7:?</t>
        </is>
      </c>
    </row>
    <row r="58" ht="17" customHeight="1">
      <c r="A58" s="50" t="n">
        <v>17</v>
      </c>
      <c r="B58" s="40" t="inlineStr">
        <is>
          <t>Encuesta57.tiff</t>
        </is>
      </c>
      <c r="C58" s="50" t="n">
        <v>10</v>
      </c>
      <c r="D58" s="50" t="n">
        <v>4</v>
      </c>
      <c r="E58" s="50" t="n">
        <v>5</v>
      </c>
      <c r="F58" s="50" t="n">
        <v>2</v>
      </c>
      <c r="G58" s="50" t="n">
        <v>5</v>
      </c>
      <c r="H58" s="50" t="n">
        <v>4</v>
      </c>
      <c r="I58" s="50" t="inlineStr">
        <is>
          <t>Si</t>
        </is>
      </c>
      <c r="J58" s="50" t="n"/>
      <c r="K58" s="50" t="n"/>
      <c r="L58" s="50" t="b">
        <v>0</v>
      </c>
      <c r="M58" s="50" t="b">
        <v>1</v>
      </c>
      <c r="N58" s="50" t="b">
        <v>0</v>
      </c>
      <c r="O58" s="50" t="b">
        <v>0</v>
      </c>
      <c r="P58" s="50" t="b">
        <v>0</v>
      </c>
      <c r="Q58" s="50" t="b">
        <v>0</v>
      </c>
      <c r="R58" s="50" t="b">
        <v>1</v>
      </c>
      <c r="S58" s="50" t="b">
        <v>1</v>
      </c>
      <c r="T58" s="40" t="inlineStr">
        <is>
          <t>REVISAR</t>
        </is>
      </c>
      <c r="U58" s="58" t="inlineStr">
        <is>
          <t>grado:?; p2:?; p3:?; p4:?; p5:?; p6:?; p7:?</t>
        </is>
      </c>
    </row>
    <row r="59" ht="17" customHeight="1">
      <c r="A59" s="50" t="n">
        <v>45</v>
      </c>
      <c r="B59" s="40" t="inlineStr">
        <is>
          <t>Encuesta58.tiff</t>
        </is>
      </c>
      <c r="C59" s="50" t="n">
        <v>9</v>
      </c>
      <c r="D59" s="50" t="n">
        <v>4</v>
      </c>
      <c r="E59" s="50" t="n">
        <v>1</v>
      </c>
      <c r="F59" s="50" t="n">
        <v>1</v>
      </c>
      <c r="G59" s="50" t="n">
        <v>3</v>
      </c>
      <c r="H59" s="50" t="n">
        <v>2</v>
      </c>
      <c r="I59" s="50" t="inlineStr">
        <is>
          <t>No</t>
        </is>
      </c>
      <c r="J59" s="50" t="n"/>
      <c r="K59" s="50" t="n"/>
      <c r="L59" s="50" t="b">
        <v>1</v>
      </c>
      <c r="M59" s="50" t="b">
        <v>0</v>
      </c>
      <c r="N59" s="50" t="b">
        <v>0</v>
      </c>
      <c r="O59" s="50" t="b">
        <v>0</v>
      </c>
      <c r="P59" s="50" t="b">
        <v>0</v>
      </c>
      <c r="Q59" s="50" t="b">
        <v>1</v>
      </c>
      <c r="R59" s="50" t="b">
        <v>1</v>
      </c>
      <c r="S59" s="50" t="b">
        <v>1</v>
      </c>
      <c r="T59" s="40" t="inlineStr">
        <is>
          <t>REVISAR</t>
        </is>
      </c>
      <c r="U59" s="58" t="inlineStr">
        <is>
          <t>numero_encuesta:?; grado:?; p2:?; p3:?; p4:?; p5:?; p6:?</t>
        </is>
      </c>
    </row>
    <row r="60" ht="17" customHeight="1">
      <c r="A60" s="50" t="n">
        <v>44</v>
      </c>
      <c r="B60" s="40" t="inlineStr">
        <is>
          <t>Encuesta59.tiff</t>
        </is>
      </c>
      <c r="C60" s="50" t="n">
        <v>8</v>
      </c>
      <c r="D60" s="50" t="n">
        <v>4</v>
      </c>
      <c r="E60" s="50" t="n">
        <v>3</v>
      </c>
      <c r="F60" s="50" t="n">
        <v>4</v>
      </c>
      <c r="G60" s="50" t="n">
        <v>3</v>
      </c>
      <c r="H60" s="50" t="n">
        <v>4</v>
      </c>
      <c r="I60" s="50" t="inlineStr">
        <is>
          <t>Si</t>
        </is>
      </c>
      <c r="J60" s="50" t="n"/>
      <c r="K60" s="50" t="n"/>
      <c r="L60" s="50" t="b">
        <v>0</v>
      </c>
      <c r="M60" s="50" t="b">
        <v>0</v>
      </c>
      <c r="N60" s="50" t="b">
        <v>0</v>
      </c>
      <c r="O60" s="50" t="b">
        <v>1</v>
      </c>
      <c r="P60" s="50" t="b">
        <v>0</v>
      </c>
      <c r="Q60" s="50" t="b">
        <v>0</v>
      </c>
      <c r="R60" s="50" t="b">
        <v>1</v>
      </c>
      <c r="S60" s="50" t="b">
        <v>1</v>
      </c>
      <c r="T60" s="40" t="inlineStr">
        <is>
          <t>REVISAR</t>
        </is>
      </c>
      <c r="U60" s="58" t="inlineStr">
        <is>
          <t>numero_encuesta:?; grado:?; p2:?; p3:?; p4:?; p5:?; p6:?; p7:?</t>
        </is>
      </c>
    </row>
    <row r="61" ht="17" customHeight="1">
      <c r="A61" s="50" t="n">
        <v>27</v>
      </c>
      <c r="B61" s="40" t="inlineStr">
        <is>
          <t>Encuesta6.tiff</t>
        </is>
      </c>
      <c r="C61" s="50" t="n">
        <v>8</v>
      </c>
      <c r="D61" s="50" t="n">
        <v>3</v>
      </c>
      <c r="E61" s="50" t="n">
        <v>1</v>
      </c>
      <c r="F61" s="50" t="n">
        <v>3</v>
      </c>
      <c r="G61" s="50" t="n">
        <v>4</v>
      </c>
      <c r="H61" s="50" t="n">
        <v>5</v>
      </c>
      <c r="I61" s="50" t="inlineStr">
        <is>
          <t>No</t>
        </is>
      </c>
      <c r="J61" s="50" t="n"/>
      <c r="K61" s="50" t="n"/>
      <c r="L61" s="50" t="b">
        <v>0</v>
      </c>
      <c r="M61" s="50" t="b">
        <v>0</v>
      </c>
      <c r="N61" s="50" t="b">
        <v>1</v>
      </c>
      <c r="O61" s="50" t="b">
        <v>0</v>
      </c>
      <c r="P61" s="50" t="b">
        <v>0</v>
      </c>
      <c r="Q61" s="50" t="b">
        <v>0</v>
      </c>
      <c r="R61" s="50" t="b">
        <v>1</v>
      </c>
      <c r="S61" s="50" t="b">
        <v>1</v>
      </c>
      <c r="T61" s="40" t="inlineStr">
        <is>
          <t>REVISAR</t>
        </is>
      </c>
      <c r="U61" s="58" t="inlineStr">
        <is>
          <t>grado:?; p2:?; p3:?; p4:?; p5:?; p6:?</t>
        </is>
      </c>
    </row>
    <row r="62" ht="17" customHeight="1">
      <c r="A62" s="50" t="n">
        <v>19</v>
      </c>
      <c r="B62" s="40" t="inlineStr">
        <is>
          <t>Encuesta60.tiff</t>
        </is>
      </c>
      <c r="C62" s="50" t="n">
        <v>9</v>
      </c>
      <c r="D62" s="50" t="n">
        <v>4</v>
      </c>
      <c r="E62" s="50" t="n">
        <v>5</v>
      </c>
      <c r="F62" s="50" t="n">
        <v>2</v>
      </c>
      <c r="G62" s="50" t="n">
        <v>3</v>
      </c>
      <c r="H62" s="50" t="n">
        <v>3</v>
      </c>
      <c r="I62" s="50" t="inlineStr">
        <is>
          <t>No</t>
        </is>
      </c>
      <c r="J62" s="50" t="n"/>
      <c r="K62" s="50" t="n"/>
      <c r="L62" s="50" t="b">
        <v>1</v>
      </c>
      <c r="M62" s="50" t="b">
        <v>0</v>
      </c>
      <c r="N62" s="50" t="b">
        <v>0</v>
      </c>
      <c r="O62" s="50" t="b">
        <v>0</v>
      </c>
      <c r="P62" s="50" t="b">
        <v>0</v>
      </c>
      <c r="Q62" s="50" t="b">
        <v>1</v>
      </c>
      <c r="R62" s="50" t="b">
        <v>1</v>
      </c>
      <c r="S62" s="50" t="b">
        <v>1</v>
      </c>
      <c r="T62" s="40" t="inlineStr">
        <is>
          <t>REVISAR</t>
        </is>
      </c>
      <c r="U62" s="58" t="inlineStr">
        <is>
          <t>numero_encuesta:?; grado:?; p2:?; p3:?; p4:?; p5:?; p6:?</t>
        </is>
      </c>
    </row>
    <row r="63" ht="17" customHeight="1">
      <c r="A63" s="50" t="n">
        <v>18</v>
      </c>
      <c r="B63" s="40" t="inlineStr">
        <is>
          <t>Encuesta61.tiff</t>
        </is>
      </c>
      <c r="C63" s="50" t="n">
        <v>8</v>
      </c>
      <c r="D63" s="50" t="n">
        <v>3</v>
      </c>
      <c r="E63" s="50" t="n">
        <v>5</v>
      </c>
      <c r="F63" s="50" t="n">
        <v>2</v>
      </c>
      <c r="G63" s="50" t="n">
        <v>1</v>
      </c>
      <c r="H63" s="50" t="n">
        <v>3</v>
      </c>
      <c r="I63" s="50" t="inlineStr">
        <is>
          <t>Si</t>
        </is>
      </c>
      <c r="J63" s="50" t="n"/>
      <c r="K63" s="50" t="n"/>
      <c r="L63" s="50" t="b">
        <v>1</v>
      </c>
      <c r="M63" s="50" t="b">
        <v>0</v>
      </c>
      <c r="N63" s="50" t="b">
        <v>0</v>
      </c>
      <c r="O63" s="50" t="b">
        <v>0</v>
      </c>
      <c r="P63" s="50" t="b">
        <v>0</v>
      </c>
      <c r="Q63" s="50" t="b">
        <v>0</v>
      </c>
      <c r="R63" s="50" t="b">
        <v>1</v>
      </c>
      <c r="S63" s="50" t="b">
        <v>1</v>
      </c>
      <c r="T63" s="40" t="inlineStr">
        <is>
          <t>ERROR_NUMERO</t>
        </is>
      </c>
      <c r="U63" s="58" t="inlineStr">
        <is>
          <t>numero_encuesta:?; grado:?; p2:?; p3:?; p4:?; p5:?; p6:?; p7:?; Número de encuesta no detectado</t>
        </is>
      </c>
    </row>
    <row r="64" ht="17" customHeight="1">
      <c r="A64" s="50" t="n">
        <v>43</v>
      </c>
      <c r="B64" s="40" t="inlineStr">
        <is>
          <t>Encuesta62.tiff</t>
        </is>
      </c>
      <c r="C64" s="50" t="n">
        <v>8</v>
      </c>
      <c r="D64" s="50" t="n">
        <v>4</v>
      </c>
      <c r="E64" s="50" t="n">
        <v>3</v>
      </c>
      <c r="F64" s="50" t="n">
        <v>4</v>
      </c>
      <c r="G64" s="50" t="n">
        <v>3</v>
      </c>
      <c r="H64" s="50" t="n">
        <v>3</v>
      </c>
      <c r="I64" s="50" t="inlineStr">
        <is>
          <t>Si</t>
        </is>
      </c>
      <c r="J64" s="50" t="n"/>
      <c r="K64" s="50" t="n"/>
      <c r="L64" s="50" t="b">
        <v>0</v>
      </c>
      <c r="M64" s="50" t="b">
        <v>1</v>
      </c>
      <c r="N64" s="50" t="b">
        <v>0</v>
      </c>
      <c r="O64" s="50" t="b">
        <v>0</v>
      </c>
      <c r="P64" s="50" t="b">
        <v>0</v>
      </c>
      <c r="Q64" s="50" t="b">
        <v>0</v>
      </c>
      <c r="R64" s="50" t="b">
        <v>1</v>
      </c>
      <c r="S64" s="50" t="b">
        <v>1</v>
      </c>
      <c r="T64" s="40" t="inlineStr">
        <is>
          <t>REVISAR</t>
        </is>
      </c>
      <c r="U64" s="58" t="inlineStr">
        <is>
          <t>numero_encuesta:?; grado:?; p2:?; p3:?; p4:?; p5:?; p6:?; p7:?</t>
        </is>
      </c>
    </row>
    <row r="65" ht="17" customHeight="1">
      <c r="A65" s="50" t="n">
        <v>65</v>
      </c>
      <c r="B65" s="40" t="inlineStr">
        <is>
          <t>Encuesta63.tiff</t>
        </is>
      </c>
      <c r="C65" s="50" t="n">
        <v>8</v>
      </c>
      <c r="D65" s="50" t="n">
        <v>5</v>
      </c>
      <c r="E65" s="50" t="n">
        <v>4</v>
      </c>
      <c r="F65" s="50" t="n">
        <v>5</v>
      </c>
      <c r="G65" s="50" t="n">
        <v>3</v>
      </c>
      <c r="H65" s="50" t="n">
        <v>5</v>
      </c>
      <c r="I65" s="50" t="inlineStr">
        <is>
          <t>Si</t>
        </is>
      </c>
      <c r="J65" s="50" t="n"/>
      <c r="K65" s="50" t="n"/>
      <c r="L65" s="50" t="b">
        <v>1</v>
      </c>
      <c r="M65" s="50" t="b">
        <v>1</v>
      </c>
      <c r="N65" s="50" t="b">
        <v>0</v>
      </c>
      <c r="O65" s="50" t="b">
        <v>0</v>
      </c>
      <c r="P65" s="50" t="b">
        <v>0</v>
      </c>
      <c r="Q65" s="50" t="b">
        <v>1</v>
      </c>
      <c r="R65" s="50" t="b">
        <v>1</v>
      </c>
      <c r="S65" s="50" t="b">
        <v>1</v>
      </c>
      <c r="T65" s="40" t="inlineStr">
        <is>
          <t>REVISAR</t>
        </is>
      </c>
      <c r="U65" s="58" t="inlineStr">
        <is>
          <t>numero_encuesta:?; grado:?; p2:?; p3:?; p4:?; p5:?; p6:?; p7:?</t>
        </is>
      </c>
    </row>
    <row r="66" ht="17" customHeight="1">
      <c r="A66" s="50" t="n">
        <v>66</v>
      </c>
      <c r="B66" s="40" t="inlineStr">
        <is>
          <t>Encuesta64.tiff</t>
        </is>
      </c>
      <c r="C66" s="50" t="n">
        <v>9</v>
      </c>
      <c r="D66" s="50" t="n">
        <v>4</v>
      </c>
      <c r="E66" s="50" t="n">
        <v>5</v>
      </c>
      <c r="F66" s="50" t="n">
        <v>1</v>
      </c>
      <c r="G66" s="50" t="n">
        <v>3</v>
      </c>
      <c r="H66" s="50" t="n">
        <v>3</v>
      </c>
      <c r="I66" s="50" t="inlineStr">
        <is>
          <t>Si</t>
        </is>
      </c>
      <c r="J66" s="50" t="n"/>
      <c r="K66" s="50" t="n"/>
      <c r="L66" s="50" t="b">
        <v>0</v>
      </c>
      <c r="M66" s="50" t="b">
        <v>1</v>
      </c>
      <c r="N66" s="50" t="b">
        <v>0</v>
      </c>
      <c r="O66" s="50" t="b">
        <v>0</v>
      </c>
      <c r="P66" s="50" t="b">
        <v>0</v>
      </c>
      <c r="Q66" s="50" t="b">
        <v>1</v>
      </c>
      <c r="R66" s="50" t="b">
        <v>1</v>
      </c>
      <c r="S66" s="50" t="b">
        <v>1</v>
      </c>
      <c r="T66" s="40" t="inlineStr">
        <is>
          <t>REVISAR</t>
        </is>
      </c>
      <c r="U66" s="58" t="inlineStr">
        <is>
          <t>numero_encuesta:?; grado:?; p2:?; p3:?; p4:?; p5:?; p6:?; p7:?</t>
        </is>
      </c>
    </row>
    <row r="67" ht="17" customHeight="1">
      <c r="A67" s="50" t="n">
        <v>67</v>
      </c>
      <c r="B67" s="40" t="inlineStr">
        <is>
          <t>Encuesta65.tiff</t>
        </is>
      </c>
      <c r="C67" s="50" t="n">
        <v>9</v>
      </c>
      <c r="D67" s="50" t="n">
        <v>4</v>
      </c>
      <c r="E67" s="50" t="n">
        <v>3</v>
      </c>
      <c r="F67" s="50" t="n">
        <v>4</v>
      </c>
      <c r="G67" s="50" t="n">
        <v>3</v>
      </c>
      <c r="H67" s="50" t="n">
        <v>4</v>
      </c>
      <c r="I67" s="50" t="inlineStr">
        <is>
          <t>Si</t>
        </is>
      </c>
      <c r="J67" s="50" t="n"/>
      <c r="K67" s="50" t="n"/>
      <c r="L67" s="50" t="b">
        <v>0</v>
      </c>
      <c r="M67" s="50" t="b">
        <v>0</v>
      </c>
      <c r="N67" s="50" t="b">
        <v>0</v>
      </c>
      <c r="O67" s="50" t="b">
        <v>0</v>
      </c>
      <c r="P67" s="50" t="b">
        <v>0</v>
      </c>
      <c r="Q67" s="50" t="b">
        <v>1</v>
      </c>
      <c r="R67" s="50" t="b">
        <v>1</v>
      </c>
      <c r="S67" s="50" t="b">
        <v>1</v>
      </c>
      <c r="T67" s="40" t="inlineStr">
        <is>
          <t>REVISAR</t>
        </is>
      </c>
      <c r="U67" s="58" t="inlineStr">
        <is>
          <t>numero_encuesta:?; grado:?; p2:?; p3:?; p4:?; p5:?; p6:?; p7:?</t>
        </is>
      </c>
    </row>
    <row r="68" ht="17" customHeight="1">
      <c r="A68" s="50" t="n">
        <v>42</v>
      </c>
      <c r="B68" s="40" t="inlineStr">
        <is>
          <t>Encuesta66.tiff</t>
        </is>
      </c>
      <c r="C68" s="50" t="n">
        <v>11</v>
      </c>
      <c r="D68" s="50" t="n">
        <v>5</v>
      </c>
      <c r="E68" s="50" t="n">
        <v>4</v>
      </c>
      <c r="F68" s="50" t="n">
        <v>3</v>
      </c>
      <c r="G68" s="50" t="n">
        <v>5</v>
      </c>
      <c r="H68" s="50" t="n">
        <v>3</v>
      </c>
      <c r="I68" s="50" t="inlineStr">
        <is>
          <t>Si</t>
        </is>
      </c>
      <c r="J68" s="50" t="n"/>
      <c r="K68" s="50" t="n"/>
      <c r="L68" s="50" t="b">
        <v>0</v>
      </c>
      <c r="M68" s="50" t="b">
        <v>0</v>
      </c>
      <c r="N68" s="50" t="b">
        <v>0</v>
      </c>
      <c r="O68" s="50" t="b">
        <v>0</v>
      </c>
      <c r="P68" s="50" t="b">
        <v>0</v>
      </c>
      <c r="Q68" s="50" t="b">
        <v>1</v>
      </c>
      <c r="R68" s="50" t="b">
        <v>1</v>
      </c>
      <c r="S68" s="50" t="b">
        <v>1</v>
      </c>
      <c r="T68" s="40" t="inlineStr">
        <is>
          <t>REVISAR</t>
        </is>
      </c>
      <c r="U68" s="58" t="inlineStr">
        <is>
          <t>numero_encuesta:?; grado:?; p2:?; p3:?; p4:?; p5:?; p6:?; p7:?</t>
        </is>
      </c>
    </row>
    <row r="69" ht="17" customHeight="1">
      <c r="A69" s="50" t="n">
        <v>16</v>
      </c>
      <c r="B69" s="40" t="inlineStr">
        <is>
          <t>Encuesta67.tiff</t>
        </is>
      </c>
      <c r="C69" s="50" t="n">
        <v>11</v>
      </c>
      <c r="D69" s="50" t="n">
        <v>4</v>
      </c>
      <c r="E69" s="50" t="n">
        <v>4</v>
      </c>
      <c r="F69" s="50" t="n">
        <v>2</v>
      </c>
      <c r="G69" s="50" t="n">
        <v>2</v>
      </c>
      <c r="H69" s="50" t="n">
        <v>3</v>
      </c>
      <c r="I69" s="50" t="inlineStr">
        <is>
          <t>No</t>
        </is>
      </c>
      <c r="J69" s="50" t="n"/>
      <c r="K69" s="50" t="n"/>
      <c r="L69" s="50" t="b">
        <v>0</v>
      </c>
      <c r="M69" s="50" t="b">
        <v>1</v>
      </c>
      <c r="N69" s="50" t="b">
        <v>1</v>
      </c>
      <c r="O69" s="50" t="b">
        <v>0</v>
      </c>
      <c r="P69" s="50" t="b">
        <v>0</v>
      </c>
      <c r="Q69" s="50" t="b">
        <v>0</v>
      </c>
      <c r="R69" s="50" t="b">
        <v>1</v>
      </c>
      <c r="S69" s="50" t="b">
        <v>1</v>
      </c>
      <c r="T69" s="40" t="inlineStr">
        <is>
          <t>REVISAR</t>
        </is>
      </c>
      <c r="U69" s="58" t="inlineStr">
        <is>
          <t>numero_encuesta:?; grado:?; p2:?; p3:?; p4:?; p5:?; p6:?</t>
        </is>
      </c>
    </row>
    <row r="70" ht="17" customHeight="1">
      <c r="A70" s="50" t="n">
        <v>41</v>
      </c>
      <c r="B70" s="40" t="inlineStr">
        <is>
          <t>Encuesta68.tiff</t>
        </is>
      </c>
      <c r="C70" s="50" t="n">
        <v>9</v>
      </c>
      <c r="D70" s="50" t="n">
        <v>4</v>
      </c>
      <c r="E70" s="50" t="n">
        <v>3</v>
      </c>
      <c r="F70" s="50" t="n">
        <v>4</v>
      </c>
      <c r="G70" s="50" t="n">
        <v>3</v>
      </c>
      <c r="H70" s="50" t="n">
        <v>3</v>
      </c>
      <c r="I70" s="50" t="inlineStr">
        <is>
          <t>Si</t>
        </is>
      </c>
      <c r="J70" s="50" t="n"/>
      <c r="K70" s="50" t="n"/>
      <c r="L70" s="50" t="b">
        <v>1</v>
      </c>
      <c r="M70" s="50" t="b">
        <v>0</v>
      </c>
      <c r="N70" s="50" t="b">
        <v>0</v>
      </c>
      <c r="O70" s="50" t="b">
        <v>0</v>
      </c>
      <c r="P70" s="50" t="b">
        <v>0</v>
      </c>
      <c r="Q70" s="50" t="b">
        <v>0</v>
      </c>
      <c r="R70" s="50" t="b">
        <v>1</v>
      </c>
      <c r="S70" s="50" t="b">
        <v>1</v>
      </c>
      <c r="T70" s="40" t="inlineStr">
        <is>
          <t>REVISAR</t>
        </is>
      </c>
      <c r="U70" s="58" t="inlineStr">
        <is>
          <t>numero_encuesta:?; grado:?; p2:?; p3:?; p4:?; p5:?; p6:?; p7:?</t>
        </is>
      </c>
    </row>
    <row r="71" ht="17" customHeight="1">
      <c r="A71" s="50" t="n">
        <v>15</v>
      </c>
      <c r="B71" s="40" t="inlineStr">
        <is>
          <t>Encuesta69.tiff</t>
        </is>
      </c>
      <c r="C71" s="50" t="n">
        <v>9</v>
      </c>
      <c r="D71" s="50" t="n">
        <v>5</v>
      </c>
      <c r="E71" s="50" t="n">
        <v>2</v>
      </c>
      <c r="F71" s="50" t="n">
        <v>1</v>
      </c>
      <c r="G71" s="50" t="n">
        <v>2</v>
      </c>
      <c r="H71" s="50" t="n">
        <v>3</v>
      </c>
      <c r="I71" s="50" t="inlineStr">
        <is>
          <t>No</t>
        </is>
      </c>
      <c r="J71" s="50" t="n"/>
      <c r="K71" s="50" t="n"/>
      <c r="L71" s="50" t="b">
        <v>0</v>
      </c>
      <c r="M71" s="50" t="b">
        <v>1</v>
      </c>
      <c r="N71" s="50" t="b">
        <v>0</v>
      </c>
      <c r="O71" s="50" t="b">
        <v>1</v>
      </c>
      <c r="P71" s="50" t="b">
        <v>0</v>
      </c>
      <c r="Q71" s="50" t="b">
        <v>0</v>
      </c>
      <c r="R71" s="50" t="b">
        <v>1</v>
      </c>
      <c r="S71" s="50" t="b">
        <v>1</v>
      </c>
      <c r="T71" s="40" t="inlineStr">
        <is>
          <t>REVISAR</t>
        </is>
      </c>
      <c r="U71" s="58" t="inlineStr">
        <is>
          <t>numero_encuesta:?; grado:?; p2:?; p3:?; p4:?; p5:?; p6:?</t>
        </is>
      </c>
    </row>
    <row r="72" ht="17" customHeight="1">
      <c r="A72" s="50" t="n">
        <v>28</v>
      </c>
      <c r="B72" s="40" t="inlineStr">
        <is>
          <t>Encuesta7.tiff</t>
        </is>
      </c>
      <c r="C72" s="50" t="n">
        <v>8</v>
      </c>
      <c r="D72" s="50" t="n">
        <v>3</v>
      </c>
      <c r="E72" s="50" t="n">
        <v>1</v>
      </c>
      <c r="F72" s="50" t="n">
        <v>4</v>
      </c>
      <c r="G72" s="50" t="n">
        <v>3</v>
      </c>
      <c r="H72" s="50" t="n">
        <v>1</v>
      </c>
      <c r="I72" s="50" t="inlineStr">
        <is>
          <t>No</t>
        </is>
      </c>
      <c r="J72" s="50" t="n"/>
      <c r="K72" s="50" t="n"/>
      <c r="L72" s="50" t="b">
        <v>0</v>
      </c>
      <c r="M72" s="50" t="b">
        <v>0</v>
      </c>
      <c r="N72" s="50" t="b">
        <v>1</v>
      </c>
      <c r="O72" s="50" t="b">
        <v>1</v>
      </c>
      <c r="P72" s="50" t="b">
        <v>1</v>
      </c>
      <c r="Q72" s="50" t="b">
        <v>1</v>
      </c>
      <c r="R72" s="50" t="b">
        <v>1</v>
      </c>
      <c r="S72" s="50" t="b">
        <v>1</v>
      </c>
      <c r="T72" s="40" t="inlineStr">
        <is>
          <t>REVISAR</t>
        </is>
      </c>
      <c r="U72" s="58" t="inlineStr">
        <is>
          <t>numero_encuesta:?; grado:?; p2:?; p3:?; p4:?; p5:?; p6:?</t>
        </is>
      </c>
    </row>
    <row r="73" ht="17" customHeight="1">
      <c r="A73" s="50" t="n">
        <v>119</v>
      </c>
      <c r="B73" s="40" t="inlineStr">
        <is>
          <t>Encuesta70.tiff</t>
        </is>
      </c>
      <c r="C73" s="50" t="n">
        <v>9</v>
      </c>
      <c r="D73" s="50" t="n">
        <v>4</v>
      </c>
      <c r="E73" s="50" t="n">
        <v>1</v>
      </c>
      <c r="F73" s="50" t="n">
        <v>1</v>
      </c>
      <c r="G73" s="50" t="n">
        <v>1</v>
      </c>
      <c r="H73" s="50" t="n">
        <v>1</v>
      </c>
      <c r="I73" s="50" t="inlineStr">
        <is>
          <t>No</t>
        </is>
      </c>
      <c r="J73" s="50" t="n"/>
      <c r="K73" s="50" t="n"/>
      <c r="L73" s="50" t="b">
        <v>1</v>
      </c>
      <c r="M73" s="50" t="b">
        <v>0</v>
      </c>
      <c r="N73" s="50" t="b">
        <v>0</v>
      </c>
      <c r="O73" s="50" t="b">
        <v>0</v>
      </c>
      <c r="P73" s="50" t="b">
        <v>1</v>
      </c>
      <c r="Q73" s="50" t="b">
        <v>1</v>
      </c>
      <c r="R73" s="50" t="b">
        <v>1</v>
      </c>
      <c r="S73" s="50" t="b">
        <v>1</v>
      </c>
      <c r="T73" s="40" t="inlineStr">
        <is>
          <t>REVISAR</t>
        </is>
      </c>
      <c r="U73" s="58" t="inlineStr">
        <is>
          <t>numero_encuesta:?; grado:?; p2:?; p3:?; p4:?; p5:?; p6:?</t>
        </is>
      </c>
    </row>
    <row r="74" ht="17" customHeight="1">
      <c r="A74" s="50" t="n">
        <v>14</v>
      </c>
      <c r="B74" s="40" t="inlineStr">
        <is>
          <t>Encuesta71.tiff</t>
        </is>
      </c>
      <c r="C74" s="50" t="n">
        <v>8</v>
      </c>
      <c r="D74" s="50" t="n">
        <v>1</v>
      </c>
      <c r="E74" s="50" t="n">
        <v>1</v>
      </c>
      <c r="F74" s="50" t="n">
        <v>2</v>
      </c>
      <c r="G74" s="50" t="n">
        <v>2</v>
      </c>
      <c r="H74" s="50" t="n">
        <v>1</v>
      </c>
      <c r="I74" s="50" t="inlineStr">
        <is>
          <t>Si</t>
        </is>
      </c>
      <c r="J74" s="50" t="n"/>
      <c r="K74" s="50" t="n"/>
      <c r="L74" s="50" t="b">
        <v>1</v>
      </c>
      <c r="M74" s="50" t="b">
        <v>0</v>
      </c>
      <c r="N74" s="50" t="b">
        <v>0</v>
      </c>
      <c r="O74" s="50" t="b">
        <v>0</v>
      </c>
      <c r="P74" s="50" t="b">
        <v>0</v>
      </c>
      <c r="Q74" s="50" t="b">
        <v>0</v>
      </c>
      <c r="R74" s="50" t="b">
        <v>1</v>
      </c>
      <c r="S74" s="50" t="b">
        <v>1</v>
      </c>
      <c r="T74" s="40" t="inlineStr">
        <is>
          <t>REVISAR</t>
        </is>
      </c>
      <c r="U74" s="58" t="inlineStr">
        <is>
          <t>numero_encuesta:?; grado:?; p2:?; p3:?; p4:?; p5:?; p6:?; p7:?</t>
        </is>
      </c>
    </row>
    <row r="75" ht="17" customHeight="1">
      <c r="A75" s="50" t="n">
        <v>68</v>
      </c>
      <c r="B75" s="40" t="inlineStr">
        <is>
          <t>Encuesta72.tiff</t>
        </is>
      </c>
      <c r="C75" s="50" t="n">
        <v>9</v>
      </c>
      <c r="D75" s="50" t="n">
        <v>2</v>
      </c>
      <c r="E75" s="50" t="n">
        <v>1</v>
      </c>
      <c r="F75" s="50" t="n">
        <v>1</v>
      </c>
      <c r="G75" s="50" t="n">
        <v>1</v>
      </c>
      <c r="H75" s="50" t="n">
        <v>3</v>
      </c>
      <c r="I75" s="50" t="inlineStr">
        <is>
          <t>Si</t>
        </is>
      </c>
      <c r="J75" s="50" t="n"/>
      <c r="K75" s="50" t="n"/>
      <c r="L75" s="50" t="b">
        <v>1</v>
      </c>
      <c r="M75" s="50" t="b">
        <v>0</v>
      </c>
      <c r="N75" s="50" t="b">
        <v>0</v>
      </c>
      <c r="O75" s="50" t="b">
        <v>0</v>
      </c>
      <c r="P75" s="50" t="b">
        <v>1</v>
      </c>
      <c r="Q75" s="50" t="b">
        <v>1</v>
      </c>
      <c r="R75" s="50" t="b">
        <v>1</v>
      </c>
      <c r="S75" s="50" t="b">
        <v>1</v>
      </c>
      <c r="T75" s="40" t="inlineStr">
        <is>
          <t>ERROR_NUMERO</t>
        </is>
      </c>
      <c r="U75" s="58" t="inlineStr">
        <is>
          <t>numero_encuesta:?; grado:?; p2:?; p3:?; p4:?; p5:?; p6:?; p7:?; Número de encuesta no detectado</t>
        </is>
      </c>
    </row>
    <row r="76" ht="17" customHeight="1">
      <c r="A76" s="50" t="n">
        <v>118</v>
      </c>
      <c r="B76" s="40" t="inlineStr">
        <is>
          <t>Encuesta73.tiff</t>
        </is>
      </c>
      <c r="C76" s="50" t="n">
        <v>9</v>
      </c>
      <c r="D76" s="50" t="n">
        <v>1</v>
      </c>
      <c r="E76" s="50" t="n">
        <v>1</v>
      </c>
      <c r="F76" s="50" t="n">
        <v>1</v>
      </c>
      <c r="G76" s="50" t="n">
        <v>2</v>
      </c>
      <c r="H76" s="50" t="n">
        <v>2</v>
      </c>
      <c r="I76" s="50" t="inlineStr">
        <is>
          <t>No</t>
        </is>
      </c>
      <c r="J76" s="50" t="n"/>
      <c r="K76" s="50" t="n"/>
      <c r="L76" s="50" t="b">
        <v>0</v>
      </c>
      <c r="M76" s="50" t="b">
        <v>0</v>
      </c>
      <c r="N76" s="50" t="b">
        <v>0</v>
      </c>
      <c r="O76" s="50" t="b">
        <v>0</v>
      </c>
      <c r="P76" s="50" t="b">
        <v>0</v>
      </c>
      <c r="Q76" s="50" t="b">
        <v>1</v>
      </c>
      <c r="R76" s="50" t="b">
        <v>1</v>
      </c>
      <c r="S76" s="50" t="b">
        <v>1</v>
      </c>
      <c r="T76" s="40" t="inlineStr">
        <is>
          <t>REVISAR</t>
        </is>
      </c>
      <c r="U76" s="58" t="inlineStr">
        <is>
          <t>numero_encuesta:?; grado:?; p2:?; p3:?; p4:?; p5:?; p6:?</t>
        </is>
      </c>
    </row>
    <row r="77" ht="17" customHeight="1">
      <c r="A77" s="50" t="n">
        <v>29</v>
      </c>
      <c r="B77" s="40" t="inlineStr">
        <is>
          <t>Encuesta8.tiff</t>
        </is>
      </c>
      <c r="C77" s="50" t="n">
        <v>10</v>
      </c>
      <c r="D77" s="50" t="n">
        <v>1</v>
      </c>
      <c r="E77" s="50" t="n">
        <v>1</v>
      </c>
      <c r="F77" s="50" t="n">
        <v>1</v>
      </c>
      <c r="G77" s="50" t="n">
        <v>1</v>
      </c>
      <c r="H77" s="50" t="n">
        <v>2</v>
      </c>
      <c r="I77" s="50" t="inlineStr">
        <is>
          <t>No</t>
        </is>
      </c>
      <c r="J77" s="50" t="n"/>
      <c r="K77" s="50" t="n"/>
      <c r="L77" s="50" t="b">
        <v>0</v>
      </c>
      <c r="M77" s="50" t="b">
        <v>0</v>
      </c>
      <c r="N77" s="50" t="b">
        <v>0</v>
      </c>
      <c r="O77" s="50" t="b">
        <v>0</v>
      </c>
      <c r="P77" s="50" t="b">
        <v>0</v>
      </c>
      <c r="Q77" s="50" t="b">
        <v>0</v>
      </c>
      <c r="R77" s="50" t="b">
        <v>1</v>
      </c>
      <c r="S77" s="50" t="b">
        <v>0</v>
      </c>
      <c r="T77" s="40" t="inlineStr">
        <is>
          <t>REVISAR</t>
        </is>
      </c>
      <c r="U77" s="58" t="inlineStr">
        <is>
          <t>grado:?; p2:?; p3:?; p4:?; p5:?; p6:?</t>
        </is>
      </c>
    </row>
    <row r="78" ht="17" customHeight="1">
      <c r="A78" s="50" t="n">
        <v>30</v>
      </c>
      <c r="B78" s="40" t="inlineStr">
        <is>
          <t>Encuesta9.tiff</t>
        </is>
      </c>
      <c r="C78" s="50" t="n">
        <v>10</v>
      </c>
      <c r="D78" s="50" t="n">
        <v>5</v>
      </c>
      <c r="E78" s="50" t="n">
        <v>4</v>
      </c>
      <c r="F78" s="50" t="n">
        <v>4</v>
      </c>
      <c r="G78" s="50" t="n">
        <v>4</v>
      </c>
      <c r="H78" s="50" t="n">
        <v>3</v>
      </c>
      <c r="I78" s="50" t="inlineStr">
        <is>
          <t>No</t>
        </is>
      </c>
      <c r="J78" s="50" t="n"/>
      <c r="K78" s="50" t="n"/>
      <c r="L78" s="50" t="b">
        <v>0</v>
      </c>
      <c r="M78" s="50" t="b">
        <v>1</v>
      </c>
      <c r="N78" s="50" t="b">
        <v>0</v>
      </c>
      <c r="O78" s="50" t="b">
        <v>0</v>
      </c>
      <c r="P78" s="50" t="b">
        <v>0</v>
      </c>
      <c r="Q78" s="50" t="b">
        <v>1</v>
      </c>
      <c r="R78" s="50" t="b">
        <v>1</v>
      </c>
      <c r="S78" s="50" t="b">
        <v>1</v>
      </c>
      <c r="T78" s="40" t="inlineStr">
        <is>
          <t>REVISAR</t>
        </is>
      </c>
      <c r="U78" s="58" t="inlineStr">
        <is>
          <t>numero_encuesta:?; grado:?; p2:?; p3:?; p4:?; p5:?; p6:?</t>
        </is>
      </c>
    </row>
    <row r="79" ht="17" customHeight="1">
      <c r="A79" s="50" t="n">
        <v>75</v>
      </c>
      <c r="B79" s="40" t="inlineStr">
        <is>
          <t>img.tiff</t>
        </is>
      </c>
      <c r="C79" s="50" t="n">
        <v>6</v>
      </c>
      <c r="D79" s="50" t="n">
        <v>4</v>
      </c>
      <c r="E79" s="50" t="n">
        <v>4</v>
      </c>
      <c r="F79" s="50" t="n">
        <v>4</v>
      </c>
      <c r="G79" s="50" t="n">
        <v>2</v>
      </c>
      <c r="H79" s="50" t="n">
        <v>3</v>
      </c>
      <c r="I79" s="50" t="inlineStr">
        <is>
          <t>Si</t>
        </is>
      </c>
      <c r="J79" s="50" t="n"/>
      <c r="K79" s="50" t="n"/>
      <c r="L79" s="50" t="b">
        <v>0</v>
      </c>
      <c r="M79" s="50" t="b">
        <v>1</v>
      </c>
      <c r="N79" s="50" t="b">
        <v>0</v>
      </c>
      <c r="O79" s="50" t="b">
        <v>0</v>
      </c>
      <c r="P79" s="50" t="b">
        <v>0</v>
      </c>
      <c r="Q79" s="50" t="b">
        <v>0</v>
      </c>
      <c r="R79" s="50" t="b">
        <v>1</v>
      </c>
      <c r="S79" s="50" t="b">
        <v>1</v>
      </c>
      <c r="T79" s="40" t="inlineStr">
        <is>
          <t>REVISAR</t>
        </is>
      </c>
      <c r="U79" s="58" t="inlineStr">
        <is>
          <t>numero_encuesta:?; grado:?; p2:?; p3:?; p4:?; p5:?; p6:?</t>
        </is>
      </c>
    </row>
    <row r="80" ht="17" customHeight="1">
      <c r="A80" s="50" t="n">
        <v>83</v>
      </c>
      <c r="B80" s="40" t="inlineStr">
        <is>
          <t>img1 (2).tiff</t>
        </is>
      </c>
      <c r="C80" s="50" t="n">
        <v>9</v>
      </c>
      <c r="D80" s="50" t="n">
        <v>3</v>
      </c>
      <c r="E80" s="50" t="n">
        <v>4</v>
      </c>
      <c r="F80" s="50" t="n">
        <v>3</v>
      </c>
      <c r="G80" s="50" t="n">
        <v>5</v>
      </c>
      <c r="H80" s="50" t="n">
        <v>3</v>
      </c>
      <c r="I80" s="50" t="inlineStr">
        <is>
          <t>Si</t>
        </is>
      </c>
      <c r="J80" s="50" t="n"/>
      <c r="K80" s="50" t="n"/>
      <c r="L80" s="50" t="b">
        <v>0</v>
      </c>
      <c r="M80" s="50" t="b">
        <v>1</v>
      </c>
      <c r="N80" s="50" t="b">
        <v>1</v>
      </c>
      <c r="O80" s="50" t="b">
        <v>0</v>
      </c>
      <c r="P80" s="50" t="b">
        <v>1</v>
      </c>
      <c r="Q80" s="50" t="b">
        <v>0</v>
      </c>
      <c r="R80" s="50" t="b">
        <v>1</v>
      </c>
      <c r="S80" s="50" t="b">
        <v>1</v>
      </c>
      <c r="T80" s="40" t="inlineStr">
        <is>
          <t>REVISAR</t>
        </is>
      </c>
      <c r="U80" s="58" t="inlineStr">
        <is>
          <t>numero_encuesta:?; grado:?; p2:?; p3:?; p4:?; p5:?; p6:?</t>
        </is>
      </c>
    </row>
    <row r="81" ht="17" customHeight="1">
      <c r="A81" s="50" t="n">
        <v>82</v>
      </c>
      <c r="B81" s="40" t="inlineStr">
        <is>
          <t>img1.tiff</t>
        </is>
      </c>
      <c r="C81" s="50" t="n">
        <v>6</v>
      </c>
      <c r="D81" s="50" t="n">
        <v>4</v>
      </c>
      <c r="E81" s="50" t="n">
        <v>4</v>
      </c>
      <c r="F81" s="50" t="n">
        <v>4</v>
      </c>
      <c r="G81" s="50" t="n">
        <v>4</v>
      </c>
      <c r="H81" s="50" t="n">
        <v>3</v>
      </c>
      <c r="I81" s="50" t="inlineStr">
        <is>
          <t>Si</t>
        </is>
      </c>
      <c r="J81" s="50" t="n"/>
      <c r="K81" s="50" t="n"/>
      <c r="L81" s="50" t="b">
        <v>0</v>
      </c>
      <c r="M81" s="50" t="b">
        <v>1</v>
      </c>
      <c r="N81" s="50" t="b">
        <v>0</v>
      </c>
      <c r="O81" s="50" t="b">
        <v>0</v>
      </c>
      <c r="P81" s="50" t="b">
        <v>0</v>
      </c>
      <c r="Q81" s="50" t="b">
        <v>0</v>
      </c>
      <c r="R81" s="50" t="b">
        <v>1</v>
      </c>
      <c r="S81" s="50" t="b">
        <v>1</v>
      </c>
      <c r="T81" s="40" t="inlineStr">
        <is>
          <t>REVISAR</t>
        </is>
      </c>
      <c r="U81" s="58" t="inlineStr">
        <is>
          <t>numero_encuesta:?; grado:?; p2:?; p3:?; p4:?; p5:?; p6:?</t>
        </is>
      </c>
    </row>
    <row r="82" ht="17" customHeight="1">
      <c r="A82" s="50" t="n">
        <v>91</v>
      </c>
      <c r="B82" s="40" t="inlineStr">
        <is>
          <t>img10.tiff</t>
        </is>
      </c>
      <c r="C82" s="50" t="n">
        <v>9</v>
      </c>
      <c r="D82" s="50" t="n">
        <v>5</v>
      </c>
      <c r="E82" s="50" t="n">
        <v>1</v>
      </c>
      <c r="F82" s="50" t="n">
        <v>1</v>
      </c>
      <c r="G82" s="50" t="n">
        <v>1</v>
      </c>
      <c r="H82" s="50" t="n">
        <v>1</v>
      </c>
      <c r="I82" s="50" t="inlineStr">
        <is>
          <t>No</t>
        </is>
      </c>
      <c r="J82" s="50" t="n"/>
      <c r="K82" s="50" t="n"/>
      <c r="L82" s="50" t="b">
        <v>0</v>
      </c>
      <c r="M82" s="50" t="b">
        <v>0</v>
      </c>
      <c r="N82" s="50" t="b">
        <v>0</v>
      </c>
      <c r="O82" s="50" t="b">
        <v>0</v>
      </c>
      <c r="P82" s="50" t="b">
        <v>0</v>
      </c>
      <c r="Q82" s="50" t="b">
        <v>0</v>
      </c>
      <c r="R82" s="50" t="b">
        <v>1</v>
      </c>
      <c r="S82" s="50" t="b">
        <v>1</v>
      </c>
      <c r="T82" s="40" t="inlineStr">
        <is>
          <t>REVISAR</t>
        </is>
      </c>
      <c r="U82" s="58" t="inlineStr">
        <is>
          <t>numero_encuesta:?; grado:?; p2:?; p3:?; p4:?; p5:?; p6:?</t>
        </is>
      </c>
    </row>
    <row r="83" ht="17" customHeight="1">
      <c r="A83" s="50" t="n">
        <v>49</v>
      </c>
      <c r="B83" s="40" t="inlineStr">
        <is>
          <t>img11.tiff</t>
        </is>
      </c>
      <c r="C83" s="50" t="n">
        <v>9</v>
      </c>
      <c r="D83" s="50" t="n">
        <v>1</v>
      </c>
      <c r="E83" s="50" t="n">
        <v>1</v>
      </c>
      <c r="F83" s="50" t="n">
        <v>4</v>
      </c>
      <c r="G83" s="50" t="n">
        <v>3</v>
      </c>
      <c r="H83" s="50" t="n">
        <v>3</v>
      </c>
      <c r="I83" s="50" t="inlineStr">
        <is>
          <t>Si</t>
        </is>
      </c>
      <c r="J83" s="50" t="n"/>
      <c r="K83" s="50" t="n"/>
      <c r="L83" s="50" t="b">
        <v>0</v>
      </c>
      <c r="M83" s="50" t="b">
        <v>0</v>
      </c>
      <c r="N83" s="50" t="b">
        <v>0</v>
      </c>
      <c r="O83" s="50" t="b">
        <v>0</v>
      </c>
      <c r="P83" s="50" t="b">
        <v>0</v>
      </c>
      <c r="Q83" s="50" t="b">
        <v>1</v>
      </c>
      <c r="R83" s="50" t="b">
        <v>1</v>
      </c>
      <c r="S83" s="50" t="b">
        <v>1</v>
      </c>
      <c r="T83" s="40" t="inlineStr">
        <is>
          <t>ERROR_NUMERO</t>
        </is>
      </c>
      <c r="U83" s="58" t="inlineStr">
        <is>
          <t>numero_encuesta:?; grado:?; p2:?; p3:?; p4:?; p5:?; p6:?; Número de encuesta no detectado</t>
        </is>
      </c>
    </row>
    <row r="84" ht="17" customHeight="1">
      <c r="A84" s="50" t="n">
        <v>48</v>
      </c>
      <c r="B84" s="40" t="inlineStr">
        <is>
          <t>img12.tiff</t>
        </is>
      </c>
      <c r="C84" s="50" t="n">
        <v>9</v>
      </c>
      <c r="D84" s="50" t="n">
        <v>3</v>
      </c>
      <c r="E84" s="50" t="n">
        <v>3</v>
      </c>
      <c r="F84" s="50" t="n">
        <v>2</v>
      </c>
      <c r="G84" s="50" t="n">
        <v>2</v>
      </c>
      <c r="H84" s="50" t="n">
        <v>3</v>
      </c>
      <c r="I84" s="50" t="inlineStr">
        <is>
          <t>Si</t>
        </is>
      </c>
      <c r="J84" s="50" t="n"/>
      <c r="K84" s="50" t="n"/>
      <c r="L84" s="50" t="b">
        <v>0</v>
      </c>
      <c r="M84" s="50" t="b">
        <v>1</v>
      </c>
      <c r="N84" s="50" t="b">
        <v>0</v>
      </c>
      <c r="O84" s="50" t="b">
        <v>0</v>
      </c>
      <c r="P84" s="50" t="b">
        <v>0</v>
      </c>
      <c r="Q84" s="50" t="b">
        <v>0</v>
      </c>
      <c r="R84" s="50" t="b">
        <v>1</v>
      </c>
      <c r="S84" s="50" t="b">
        <v>1</v>
      </c>
      <c r="T84" s="40" t="inlineStr">
        <is>
          <t>REVISAR</t>
        </is>
      </c>
      <c r="U84" s="58" t="inlineStr">
        <is>
          <t>numero_encuesta:?; grado:?; p2:?; p3:?; p4:?; p5:?; p6:?</t>
        </is>
      </c>
    </row>
    <row r="85" ht="17" customHeight="1">
      <c r="A85" s="50" t="n">
        <v>89</v>
      </c>
      <c r="B85" s="40" t="inlineStr">
        <is>
          <t>img13.tiff</t>
        </is>
      </c>
      <c r="C85" s="50" t="n">
        <v>9</v>
      </c>
      <c r="D85" s="50" t="n">
        <v>4</v>
      </c>
      <c r="E85" s="50" t="n">
        <v>4</v>
      </c>
      <c r="F85" s="50" t="n">
        <v>2</v>
      </c>
      <c r="G85" s="50" t="n">
        <v>3</v>
      </c>
      <c r="H85" s="50" t="n">
        <v>3</v>
      </c>
      <c r="I85" s="50" t="inlineStr">
        <is>
          <t>Si</t>
        </is>
      </c>
      <c r="J85" s="50" t="n"/>
      <c r="K85" s="50" t="n"/>
      <c r="L85" s="50" t="b">
        <v>0</v>
      </c>
      <c r="M85" s="50" t="b">
        <v>1</v>
      </c>
      <c r="N85" s="50" t="b">
        <v>0</v>
      </c>
      <c r="O85" s="50" t="b">
        <v>0</v>
      </c>
      <c r="P85" s="50" t="b">
        <v>0</v>
      </c>
      <c r="Q85" s="50" t="b">
        <v>0</v>
      </c>
      <c r="R85" s="50" t="b">
        <v>1</v>
      </c>
      <c r="S85" s="50" t="b">
        <v>1</v>
      </c>
      <c r="T85" s="40" t="inlineStr">
        <is>
          <t>REVISAR</t>
        </is>
      </c>
      <c r="U85" s="58" t="inlineStr">
        <is>
          <t>numero_encuesta:?; grado:?; p2:?; p3:?; p4:?; p5:?; p6:?</t>
        </is>
      </c>
    </row>
    <row r="86" ht="17" customHeight="1">
      <c r="A86" s="50" t="n">
        <v>86</v>
      </c>
      <c r="B86" s="40" t="inlineStr">
        <is>
          <t>img14.tiff</t>
        </is>
      </c>
      <c r="C86" s="50" t="n">
        <v>9</v>
      </c>
      <c r="D86" s="50" t="n">
        <v>3</v>
      </c>
      <c r="E86" s="50" t="n">
        <v>3</v>
      </c>
      <c r="F86" s="50" t="n">
        <v>3</v>
      </c>
      <c r="G86" s="50" t="n">
        <v>1</v>
      </c>
      <c r="H86" s="50" t="n">
        <v>3</v>
      </c>
      <c r="I86" s="50" t="inlineStr">
        <is>
          <t>No</t>
        </is>
      </c>
      <c r="J86" s="50" t="n"/>
      <c r="K86" s="50" t="n"/>
      <c r="L86" s="50" t="b">
        <v>0</v>
      </c>
      <c r="M86" s="50" t="b">
        <v>1</v>
      </c>
      <c r="N86" s="50" t="b">
        <v>0</v>
      </c>
      <c r="O86" s="50" t="b">
        <v>0</v>
      </c>
      <c r="P86" s="50" t="b">
        <v>0</v>
      </c>
      <c r="Q86" s="50" t="b">
        <v>0</v>
      </c>
      <c r="R86" s="50" t="b">
        <v>1</v>
      </c>
      <c r="S86" s="50" t="b">
        <v>1</v>
      </c>
      <c r="T86" s="40" t="inlineStr">
        <is>
          <t>REVISAR</t>
        </is>
      </c>
      <c r="U86" s="58" t="inlineStr">
        <is>
          <t>numero_encuesta:?; grado:?; p2:?; p3:?; p4:?; p5:?; p6:?</t>
        </is>
      </c>
    </row>
    <row r="87" ht="17" customHeight="1">
      <c r="A87" s="50" t="n">
        <v>88</v>
      </c>
      <c r="B87" s="40" t="inlineStr">
        <is>
          <t>img15.tiff</t>
        </is>
      </c>
      <c r="C87" s="50" t="n">
        <v>9</v>
      </c>
      <c r="D87" s="50" t="n">
        <v>4</v>
      </c>
      <c r="E87" s="50" t="n">
        <v>3</v>
      </c>
      <c r="F87" s="50" t="n">
        <v>1</v>
      </c>
      <c r="G87" s="50" t="n">
        <v>3</v>
      </c>
      <c r="H87" s="50" t="n">
        <v>2</v>
      </c>
      <c r="I87" s="50" t="inlineStr">
        <is>
          <t>No</t>
        </is>
      </c>
      <c r="J87" s="50" t="n"/>
      <c r="K87" s="50" t="n"/>
      <c r="L87" s="50" t="b">
        <v>0</v>
      </c>
      <c r="M87" s="50" t="b">
        <v>1</v>
      </c>
      <c r="N87" s="50" t="b">
        <v>0</v>
      </c>
      <c r="O87" s="50" t="b">
        <v>0</v>
      </c>
      <c r="P87" s="50" t="b">
        <v>0</v>
      </c>
      <c r="Q87" s="50" t="b">
        <v>1</v>
      </c>
      <c r="R87" s="50" t="b">
        <v>1</v>
      </c>
      <c r="S87" s="50" t="b">
        <v>1</v>
      </c>
      <c r="T87" s="40" t="inlineStr">
        <is>
          <t>REVISAR</t>
        </is>
      </c>
      <c r="U87" s="58" t="inlineStr">
        <is>
          <t>numero_encuesta:?; grado:?; p2:?; p3:?; p4:?; p5:?; p6:?</t>
        </is>
      </c>
    </row>
    <row r="88" ht="17" customHeight="1">
      <c r="A88" s="50" t="n">
        <v>54</v>
      </c>
      <c r="B88" s="40" t="inlineStr">
        <is>
          <t>img16.tiff</t>
        </is>
      </c>
      <c r="C88" s="50" t="n">
        <v>7</v>
      </c>
      <c r="D88" s="50" t="n">
        <v>2</v>
      </c>
      <c r="E88" s="50" t="n">
        <v>2</v>
      </c>
      <c r="F88" s="50" t="n">
        <v>2</v>
      </c>
      <c r="G88" s="50" t="n">
        <v>2</v>
      </c>
      <c r="H88" s="50" t="n">
        <v>2</v>
      </c>
      <c r="I88" s="50" t="inlineStr">
        <is>
          <t>No</t>
        </is>
      </c>
      <c r="J88" s="50" t="n"/>
      <c r="K88" s="50" t="n"/>
      <c r="L88" s="50" t="b">
        <v>1</v>
      </c>
      <c r="M88" s="50" t="b">
        <v>1</v>
      </c>
      <c r="N88" s="50" t="b">
        <v>1</v>
      </c>
      <c r="O88" s="50" t="b">
        <v>1</v>
      </c>
      <c r="P88" s="50" t="b">
        <v>1</v>
      </c>
      <c r="Q88" s="50" t="b">
        <v>1</v>
      </c>
      <c r="R88" s="50" t="b">
        <v>1</v>
      </c>
      <c r="S88" s="50" t="b">
        <v>1</v>
      </c>
      <c r="T88" s="40" t="inlineStr">
        <is>
          <t>REVISAR</t>
        </is>
      </c>
      <c r="U88" s="58" t="inlineStr">
        <is>
          <t>numero_encuesta:?; grado:?; p2:?; p3:?; p4:?; p5:?; p6:?</t>
        </is>
      </c>
    </row>
    <row r="89" ht="17" customHeight="1">
      <c r="A89" s="50" t="n">
        <v>53</v>
      </c>
      <c r="B89" s="40" t="inlineStr">
        <is>
          <t>img17.tiff</t>
        </is>
      </c>
      <c r="C89" s="50" t="n">
        <v>7</v>
      </c>
      <c r="D89" s="50" t="n">
        <v>4</v>
      </c>
      <c r="E89" s="50" t="n">
        <v>1</v>
      </c>
      <c r="F89" s="50" t="n">
        <v>3</v>
      </c>
      <c r="G89" s="50" t="n">
        <v>1</v>
      </c>
      <c r="H89" s="50" t="n">
        <v>1</v>
      </c>
      <c r="I89" s="50" t="inlineStr">
        <is>
          <t>No</t>
        </is>
      </c>
      <c r="J89" s="50" t="n"/>
      <c r="K89" s="50" t="n"/>
      <c r="L89" s="50" t="b">
        <v>1</v>
      </c>
      <c r="M89" s="50" t="b">
        <v>1</v>
      </c>
      <c r="N89" s="50" t="b">
        <v>1</v>
      </c>
      <c r="O89" s="50" t="b">
        <v>1</v>
      </c>
      <c r="P89" s="50" t="b">
        <v>1</v>
      </c>
      <c r="Q89" s="50" t="b">
        <v>1</v>
      </c>
      <c r="R89" s="50" t="b">
        <v>1</v>
      </c>
      <c r="S89" s="50" t="b">
        <v>0</v>
      </c>
      <c r="T89" s="40" t="inlineStr">
        <is>
          <t>REVISAR</t>
        </is>
      </c>
      <c r="U89" s="58" t="inlineStr">
        <is>
          <t>numero_encuesta:?; grado:?; p2:?; p3:?; p4:?; p5:?; p6:?</t>
        </is>
      </c>
    </row>
    <row r="90" ht="17" customHeight="1">
      <c r="A90" s="50" t="n">
        <v>55</v>
      </c>
      <c r="B90" s="40" t="inlineStr">
        <is>
          <t>img18.tiff</t>
        </is>
      </c>
      <c r="C90" s="50" t="n">
        <v>7</v>
      </c>
      <c r="D90" s="50" t="n">
        <v>1</v>
      </c>
      <c r="E90" s="50" t="n">
        <v>2</v>
      </c>
      <c r="F90" s="50" t="n">
        <v>3</v>
      </c>
      <c r="G90" s="50" t="n">
        <v>2</v>
      </c>
      <c r="H90" s="50" t="n">
        <v>2</v>
      </c>
      <c r="I90" s="50" t="inlineStr">
        <is>
          <t>No</t>
        </is>
      </c>
      <c r="J90" s="50" t="n"/>
      <c r="K90" s="50" t="n"/>
      <c r="L90" s="50" t="b">
        <v>1</v>
      </c>
      <c r="M90" s="50" t="b">
        <v>1</v>
      </c>
      <c r="N90" s="50" t="b">
        <v>1</v>
      </c>
      <c r="O90" s="50" t="b">
        <v>1</v>
      </c>
      <c r="P90" s="50" t="b">
        <v>1</v>
      </c>
      <c r="Q90" s="50" t="b">
        <v>1</v>
      </c>
      <c r="R90" s="50" t="b">
        <v>1</v>
      </c>
      <c r="S90" s="50" t="b">
        <v>1</v>
      </c>
      <c r="T90" s="40" t="inlineStr">
        <is>
          <t>REVISAR</t>
        </is>
      </c>
      <c r="U90" s="58" t="inlineStr">
        <is>
          <t>numero_encuesta:?; grado:?; p2:?; p3:?; p4:?; p5:?; p6:?</t>
        </is>
      </c>
    </row>
    <row r="91" ht="17" customHeight="1">
      <c r="A91" s="50" t="n">
        <v>56</v>
      </c>
      <c r="B91" s="40" t="inlineStr">
        <is>
          <t>img19.tiff</t>
        </is>
      </c>
      <c r="C91" s="50" t="n">
        <v>9</v>
      </c>
      <c r="D91" s="50" t="n">
        <v>3</v>
      </c>
      <c r="E91" s="50" t="n">
        <v>5</v>
      </c>
      <c r="F91" s="50" t="n">
        <v>4</v>
      </c>
      <c r="G91" s="50" t="n">
        <v>4</v>
      </c>
      <c r="H91" s="50" t="n">
        <v>3</v>
      </c>
      <c r="I91" s="50" t="inlineStr">
        <is>
          <t>Si</t>
        </is>
      </c>
      <c r="J91" s="50" t="n"/>
      <c r="K91" s="50" t="n"/>
      <c r="L91" s="50" t="b">
        <v>1</v>
      </c>
      <c r="M91" s="50" t="b">
        <v>1</v>
      </c>
      <c r="N91" s="50" t="b">
        <v>1</v>
      </c>
      <c r="O91" s="50" t="b">
        <v>0</v>
      </c>
      <c r="P91" s="50" t="b">
        <v>1</v>
      </c>
      <c r="Q91" s="50" t="b">
        <v>1</v>
      </c>
      <c r="R91" s="50" t="b">
        <v>1</v>
      </c>
      <c r="S91" s="50" t="b">
        <v>1</v>
      </c>
      <c r="T91" s="40" t="inlineStr">
        <is>
          <t>REVISAR</t>
        </is>
      </c>
      <c r="U91" s="58" t="inlineStr">
        <is>
          <t>numero_encuesta:?; grado:?; p2:?; p3:?; p4:?; p5:?; p6:?</t>
        </is>
      </c>
    </row>
    <row r="92" ht="17" customHeight="1">
      <c r="A92" s="50" t="n">
        <v>50</v>
      </c>
      <c r="B92" s="40" t="inlineStr">
        <is>
          <t>img2 (2).tiff</t>
        </is>
      </c>
      <c r="C92" s="50" t="n">
        <v>10</v>
      </c>
      <c r="D92" s="50" t="n">
        <v>5</v>
      </c>
      <c r="E92" s="50" t="n">
        <v>2</v>
      </c>
      <c r="F92" s="50" t="n">
        <v>1</v>
      </c>
      <c r="G92" s="50" t="n">
        <v>1</v>
      </c>
      <c r="H92" s="50" t="n">
        <v>2</v>
      </c>
      <c r="I92" s="50" t="inlineStr">
        <is>
          <t>No</t>
        </is>
      </c>
      <c r="J92" s="50" t="n"/>
      <c r="K92" s="50" t="n"/>
      <c r="L92" s="50" t="b">
        <v>0</v>
      </c>
      <c r="M92" s="50" t="b">
        <v>1</v>
      </c>
      <c r="N92" s="50" t="b">
        <v>0</v>
      </c>
      <c r="O92" s="50" t="b">
        <v>0</v>
      </c>
      <c r="P92" s="50" t="b">
        <v>1</v>
      </c>
      <c r="Q92" s="50" t="b">
        <v>1</v>
      </c>
      <c r="R92" s="50" t="b">
        <v>1</v>
      </c>
      <c r="S92" s="50" t="b">
        <v>1</v>
      </c>
      <c r="T92" s="40" t="inlineStr">
        <is>
          <t>REVISAR</t>
        </is>
      </c>
      <c r="U92" s="58" t="inlineStr">
        <is>
          <t>numero_encuesta:?; grado:?; p2:?; p3:?; p4:?; p5:?; p6:?</t>
        </is>
      </c>
    </row>
    <row r="93" ht="17" customHeight="1">
      <c r="A93" s="50" t="n">
        <v>80</v>
      </c>
      <c r="B93" s="40" t="inlineStr">
        <is>
          <t>img2.tiff</t>
        </is>
      </c>
      <c r="C93" s="50" t="n">
        <v>10</v>
      </c>
      <c r="D93" s="50" t="n">
        <v>2</v>
      </c>
      <c r="E93" s="50" t="n">
        <v>1</v>
      </c>
      <c r="F93" s="50" t="n">
        <v>3</v>
      </c>
      <c r="G93" s="50" t="n">
        <v>5</v>
      </c>
      <c r="H93" s="50" t="n">
        <v>2</v>
      </c>
      <c r="I93" s="50" t="inlineStr">
        <is>
          <t>Si</t>
        </is>
      </c>
      <c r="J93" s="50" t="n"/>
      <c r="K93" s="50" t="n"/>
      <c r="L93" s="50" t="b">
        <v>0</v>
      </c>
      <c r="M93" s="50" t="b">
        <v>0</v>
      </c>
      <c r="N93" s="50" t="b">
        <v>1</v>
      </c>
      <c r="O93" s="50" t="b">
        <v>0</v>
      </c>
      <c r="P93" s="50" t="b">
        <v>0</v>
      </c>
      <c r="Q93" s="50" t="b">
        <v>0</v>
      </c>
      <c r="R93" s="50" t="b">
        <v>1</v>
      </c>
      <c r="S93" s="50" t="b">
        <v>0</v>
      </c>
      <c r="T93" s="40" t="inlineStr">
        <is>
          <t>ERROR_NUMERO</t>
        </is>
      </c>
      <c r="U93" s="58" t="inlineStr">
        <is>
          <t>numero_encuesta:?; grado:?; p2:?; p3:?; p4:?; p5:?; p6:?; Número de encuesta no detectado</t>
        </is>
      </c>
    </row>
    <row r="94" ht="17" customHeight="1">
      <c r="A94" s="50" t="n">
        <v>57</v>
      </c>
      <c r="B94" s="40" t="inlineStr">
        <is>
          <t>img20.tiff</t>
        </is>
      </c>
      <c r="C94" s="50" t="n">
        <v>7</v>
      </c>
      <c r="D94" s="50" t="n">
        <v>2</v>
      </c>
      <c r="E94" s="50" t="n">
        <v>4</v>
      </c>
      <c r="F94" s="50" t="n">
        <v>4</v>
      </c>
      <c r="G94" s="50" t="n">
        <v>3</v>
      </c>
      <c r="H94" s="50" t="n">
        <v>4</v>
      </c>
      <c r="I94" s="50" t="inlineStr">
        <is>
          <t>Si</t>
        </is>
      </c>
      <c r="J94" s="50" t="n"/>
      <c r="K94" s="50" t="n"/>
      <c r="L94" s="50" t="b">
        <v>0</v>
      </c>
      <c r="M94" s="50" t="b">
        <v>1</v>
      </c>
      <c r="N94" s="50" t="b">
        <v>0</v>
      </c>
      <c r="O94" s="50" t="b">
        <v>0</v>
      </c>
      <c r="P94" s="50" t="b">
        <v>0</v>
      </c>
      <c r="Q94" s="50" t="b">
        <v>0</v>
      </c>
      <c r="R94" s="50" t="b">
        <v>1</v>
      </c>
      <c r="S94" s="50" t="b">
        <v>1</v>
      </c>
      <c r="T94" s="40" t="inlineStr">
        <is>
          <t>ERROR_NUMERO</t>
        </is>
      </c>
      <c r="U94" s="58" t="inlineStr">
        <is>
          <t>numero_encuesta:?; grado:?; p2:?; p3:?; p4:?; p5:?; p6:?; Número de encuesta no detectado</t>
        </is>
      </c>
    </row>
    <row r="95" ht="17" customHeight="1">
      <c r="A95" s="50" t="n">
        <v>58</v>
      </c>
      <c r="B95" s="40" t="inlineStr">
        <is>
          <t>img21.tiff</t>
        </is>
      </c>
      <c r="C95" s="50" t="n">
        <v>7</v>
      </c>
      <c r="D95" s="50" t="n">
        <v>1</v>
      </c>
      <c r="E95" s="50" t="n">
        <v>1</v>
      </c>
      <c r="F95" s="50" t="n">
        <v>2</v>
      </c>
      <c r="G95" s="50" t="n">
        <v>1</v>
      </c>
      <c r="H95" s="50" t="n">
        <v>4</v>
      </c>
      <c r="I95" s="50" t="inlineStr">
        <is>
          <t>No</t>
        </is>
      </c>
      <c r="J95" s="50" t="n"/>
      <c r="K95" s="50" t="n"/>
      <c r="L95" s="50" t="b">
        <v>1</v>
      </c>
      <c r="M95" s="50" t="b">
        <v>0</v>
      </c>
      <c r="N95" s="50" t="b">
        <v>0</v>
      </c>
      <c r="O95" s="50" t="b">
        <v>0</v>
      </c>
      <c r="P95" s="50" t="b">
        <v>0</v>
      </c>
      <c r="Q95" s="50" t="b">
        <v>0</v>
      </c>
      <c r="R95" s="50" t="b">
        <v>1</v>
      </c>
      <c r="S95" s="50" t="b">
        <v>1</v>
      </c>
      <c r="T95" s="40" t="inlineStr">
        <is>
          <t>REVISAR</t>
        </is>
      </c>
      <c r="U95" s="58" t="inlineStr">
        <is>
          <t>numero_encuesta:?; grado:?; p2:?; p3:?; p4:?; p5:?; p6:?</t>
        </is>
      </c>
    </row>
    <row r="96" ht="17" customHeight="1">
      <c r="A96" s="50" t="n">
        <v>60</v>
      </c>
      <c r="B96" s="40" t="inlineStr">
        <is>
          <t>img22.tiff</t>
        </is>
      </c>
      <c r="C96" s="50" t="n">
        <v>7</v>
      </c>
      <c r="D96" s="50" t="n">
        <v>3</v>
      </c>
      <c r="E96" s="50" t="n">
        <v>2</v>
      </c>
      <c r="F96" s="50" t="n">
        <v>3</v>
      </c>
      <c r="G96" s="50" t="n">
        <v>2</v>
      </c>
      <c r="H96" s="50" t="n">
        <v>2</v>
      </c>
      <c r="I96" s="50" t="inlineStr">
        <is>
          <t>Si</t>
        </is>
      </c>
      <c r="J96" s="50" t="n"/>
      <c r="K96" s="50" t="n"/>
      <c r="L96" s="50" t="b">
        <v>0</v>
      </c>
      <c r="M96" s="50" t="b">
        <v>1</v>
      </c>
      <c r="N96" s="50" t="b">
        <v>0</v>
      </c>
      <c r="O96" s="50" t="b">
        <v>0</v>
      </c>
      <c r="P96" s="50" t="b">
        <v>0</v>
      </c>
      <c r="Q96" s="50" t="b">
        <v>1</v>
      </c>
      <c r="R96" s="50" t="b">
        <v>1</v>
      </c>
      <c r="S96" s="50" t="b">
        <v>1</v>
      </c>
      <c r="T96" s="40" t="inlineStr">
        <is>
          <t>REVISAR</t>
        </is>
      </c>
      <c r="U96" s="58" t="inlineStr">
        <is>
          <t>numero_encuesta:?; grado:?; p2:?; p3:?; p4:?; p5:?; p6:?</t>
        </is>
      </c>
    </row>
    <row r="97" ht="17" customHeight="1">
      <c r="A97" s="50" t="n">
        <v>99</v>
      </c>
      <c r="B97" s="40" t="inlineStr">
        <is>
          <t>img23.tiff</t>
        </is>
      </c>
      <c r="C97" s="50" t="n">
        <v>6</v>
      </c>
      <c r="D97" s="50" t="n">
        <v>4</v>
      </c>
      <c r="E97" s="50" t="n">
        <v>4</v>
      </c>
      <c r="F97" s="50" t="n">
        <v>4</v>
      </c>
      <c r="G97" s="50" t="n">
        <v>5</v>
      </c>
      <c r="H97" s="50" t="n">
        <v>5</v>
      </c>
      <c r="I97" s="50" t="inlineStr">
        <is>
          <t>Si</t>
        </is>
      </c>
      <c r="J97" s="50" t="n"/>
      <c r="K97" s="50" t="n"/>
      <c r="L97" s="50" t="b">
        <v>0</v>
      </c>
      <c r="M97" s="50" t="b">
        <v>1</v>
      </c>
      <c r="N97" s="50" t="b">
        <v>0</v>
      </c>
      <c r="O97" s="50" t="b">
        <v>0</v>
      </c>
      <c r="P97" s="50" t="b">
        <v>0</v>
      </c>
      <c r="Q97" s="50" t="b">
        <v>0</v>
      </c>
      <c r="R97" s="50" t="b">
        <v>1</v>
      </c>
      <c r="S97" s="50" t="b">
        <v>1</v>
      </c>
      <c r="T97" s="40" t="inlineStr">
        <is>
          <t>REVISAR</t>
        </is>
      </c>
      <c r="U97" s="58" t="inlineStr">
        <is>
          <t>grado:?; p2:?; p3:?; p4:?; p5:?; p6:?</t>
        </is>
      </c>
    </row>
    <row r="98" ht="17" customHeight="1">
      <c r="A98" s="50" t="n">
        <v>59</v>
      </c>
      <c r="B98" s="40" t="inlineStr">
        <is>
          <t>img24.tiff</t>
        </is>
      </c>
      <c r="C98" s="50" t="n">
        <v>7</v>
      </c>
      <c r="D98" s="50" t="n">
        <v>4</v>
      </c>
      <c r="E98" s="50" t="n">
        <v>1</v>
      </c>
      <c r="F98" s="50" t="n">
        <v>3</v>
      </c>
      <c r="G98" s="50" t="n">
        <v>3</v>
      </c>
      <c r="H98" s="50" t="n">
        <v>3</v>
      </c>
      <c r="I98" s="50" t="inlineStr">
        <is>
          <t>Si</t>
        </is>
      </c>
      <c r="J98" s="50" t="n"/>
      <c r="K98" s="50" t="n"/>
      <c r="L98" s="50" t="b">
        <v>0</v>
      </c>
      <c r="M98" s="50" t="b">
        <v>0</v>
      </c>
      <c r="N98" s="50" t="b">
        <v>0</v>
      </c>
      <c r="O98" s="50" t="b">
        <v>0</v>
      </c>
      <c r="P98" s="50" t="b">
        <v>0</v>
      </c>
      <c r="Q98" s="50" t="b">
        <v>1</v>
      </c>
      <c r="R98" s="50" t="b">
        <v>1</v>
      </c>
      <c r="S98" s="50" t="b">
        <v>1</v>
      </c>
      <c r="T98" s="40" t="inlineStr">
        <is>
          <t>REVISAR</t>
        </is>
      </c>
      <c r="U98" s="58" t="inlineStr">
        <is>
          <t>numero_encuesta:?; grado:?; p2:?; p3:?; p4:?; p5:?; p6:?</t>
        </is>
      </c>
    </row>
    <row r="99" ht="17" customHeight="1">
      <c r="A99" s="50" t="n">
        <v>87</v>
      </c>
      <c r="B99" s="40" t="inlineStr">
        <is>
          <t>img3 (2).tiff</t>
        </is>
      </c>
      <c r="C99" s="50" t="n">
        <v>7</v>
      </c>
      <c r="D99" s="50" t="n">
        <v>3</v>
      </c>
      <c r="E99" s="50" t="n">
        <v>4</v>
      </c>
      <c r="F99" s="50" t="n">
        <v>4</v>
      </c>
      <c r="G99" s="50" t="n">
        <v>5</v>
      </c>
      <c r="H99" s="50" t="n">
        <v>4</v>
      </c>
      <c r="I99" s="50" t="inlineStr">
        <is>
          <t>Si</t>
        </is>
      </c>
      <c r="J99" s="50" t="n"/>
      <c r="K99" s="50" t="n"/>
      <c r="L99" s="50" t="b">
        <v>1</v>
      </c>
      <c r="M99" s="50" t="b">
        <v>1</v>
      </c>
      <c r="N99" s="50" t="b">
        <v>0</v>
      </c>
      <c r="O99" s="50" t="b">
        <v>0</v>
      </c>
      <c r="P99" s="50" t="b">
        <v>0</v>
      </c>
      <c r="Q99" s="50" t="b">
        <v>1</v>
      </c>
      <c r="R99" s="50" t="b">
        <v>1</v>
      </c>
      <c r="S99" s="50" t="b">
        <v>1</v>
      </c>
      <c r="T99" s="40" t="inlineStr">
        <is>
          <t>REVISAR</t>
        </is>
      </c>
      <c r="U99" s="58" t="inlineStr">
        <is>
          <t>numero_encuesta:?; grado:?; p2:?; p3:?; p4:?; p5:?; p6:?</t>
        </is>
      </c>
    </row>
    <row r="100" ht="17" customHeight="1">
      <c r="A100" s="50" t="n">
        <v>74</v>
      </c>
      <c r="B100" s="40" t="inlineStr">
        <is>
          <t>img3.tiff</t>
        </is>
      </c>
      <c r="C100" s="50" t="n">
        <v>8</v>
      </c>
      <c r="D100" s="50" t="n">
        <v>2</v>
      </c>
      <c r="E100" s="50" t="n">
        <v>1</v>
      </c>
      <c r="F100" s="50" t="n">
        <v>3</v>
      </c>
      <c r="G100" s="50" t="n">
        <v>1</v>
      </c>
      <c r="H100" s="50" t="n">
        <v>2</v>
      </c>
      <c r="I100" s="50" t="inlineStr">
        <is>
          <t>Si</t>
        </is>
      </c>
      <c r="J100" s="50" t="n"/>
      <c r="K100" s="50" t="n"/>
      <c r="L100" s="50" t="b">
        <v>0</v>
      </c>
      <c r="M100" s="50" t="b">
        <v>0</v>
      </c>
      <c r="N100" s="50" t="b">
        <v>1</v>
      </c>
      <c r="O100" s="50" t="b">
        <v>0</v>
      </c>
      <c r="P100" s="50" t="b">
        <v>0</v>
      </c>
      <c r="Q100" s="50" t="b">
        <v>0</v>
      </c>
      <c r="R100" s="50" t="b">
        <v>1</v>
      </c>
      <c r="S100" s="50" t="b">
        <v>1</v>
      </c>
      <c r="T100" s="40" t="inlineStr">
        <is>
          <t>REVISAR</t>
        </is>
      </c>
      <c r="U100" s="58" t="inlineStr">
        <is>
          <t>numero_encuesta:?; grado:?; p2:?; p3:?; p4:?; p5:?; p6:?</t>
        </is>
      </c>
    </row>
    <row r="101" ht="17" customHeight="1">
      <c r="A101" s="50" t="n">
        <v>52</v>
      </c>
      <c r="B101" s="40" t="inlineStr">
        <is>
          <t>img4 (2).tiff</t>
        </is>
      </c>
      <c r="C101" s="50" t="n">
        <v>6</v>
      </c>
      <c r="D101" s="50" t="n">
        <v>4</v>
      </c>
      <c r="E101" s="50" t="n">
        <v>5</v>
      </c>
      <c r="F101" s="50" t="n">
        <v>3</v>
      </c>
      <c r="G101" s="50" t="n">
        <v>3</v>
      </c>
      <c r="H101" s="50" t="n">
        <v>2</v>
      </c>
      <c r="I101" s="50" t="inlineStr">
        <is>
          <t>Si</t>
        </is>
      </c>
      <c r="J101" s="50" t="n"/>
      <c r="K101" s="50" t="n"/>
      <c r="L101" s="50" t="b">
        <v>0</v>
      </c>
      <c r="M101" s="50" t="b">
        <v>1</v>
      </c>
      <c r="N101" s="50" t="b">
        <v>0</v>
      </c>
      <c r="O101" s="50" t="b">
        <v>0</v>
      </c>
      <c r="P101" s="50" t="b">
        <v>0</v>
      </c>
      <c r="Q101" s="50" t="b">
        <v>1</v>
      </c>
      <c r="R101" s="50" t="b">
        <v>1</v>
      </c>
      <c r="S101" s="50" t="b">
        <v>1</v>
      </c>
      <c r="T101" s="40" t="inlineStr">
        <is>
          <t>REVISAR</t>
        </is>
      </c>
      <c r="U101" s="58" t="inlineStr">
        <is>
          <t>numero_encuesta:?; grado:?; p2:?; p3:?; p4:?; p5:?; p6:?</t>
        </is>
      </c>
    </row>
    <row r="102" ht="17" customHeight="1">
      <c r="A102" s="50" t="n">
        <v>71</v>
      </c>
      <c r="B102" s="40" t="inlineStr">
        <is>
          <t>img4.tiff</t>
        </is>
      </c>
      <c r="C102" s="50" t="n">
        <v>7</v>
      </c>
      <c r="D102" s="50" t="n">
        <v>4</v>
      </c>
      <c r="E102" s="50" t="n">
        <v>3</v>
      </c>
      <c r="F102" s="50" t="n">
        <v>4</v>
      </c>
      <c r="G102" s="50" t="n">
        <v>3</v>
      </c>
      <c r="H102" s="50" t="n">
        <v>4</v>
      </c>
      <c r="I102" s="50" t="inlineStr">
        <is>
          <t>No</t>
        </is>
      </c>
      <c r="J102" s="50" t="n"/>
      <c r="K102" s="50" t="n"/>
      <c r="L102" s="50" t="b">
        <v>0</v>
      </c>
      <c r="M102" s="50" t="b">
        <v>1</v>
      </c>
      <c r="N102" s="50" t="b">
        <v>1</v>
      </c>
      <c r="O102" s="50" t="b">
        <v>0</v>
      </c>
      <c r="P102" s="50" t="b">
        <v>0</v>
      </c>
      <c r="Q102" s="50" t="b">
        <v>0</v>
      </c>
      <c r="R102" s="50" t="b">
        <v>1</v>
      </c>
      <c r="S102" s="50" t="b">
        <v>1</v>
      </c>
      <c r="T102" s="40" t="inlineStr">
        <is>
          <t>REVISAR</t>
        </is>
      </c>
      <c r="U102" s="58" t="inlineStr">
        <is>
          <t>numero_encuesta:?; grado:?; p2:?; p3:?; p4:?; p5:?; p6:?</t>
        </is>
      </c>
    </row>
    <row r="103" ht="17" customHeight="1">
      <c r="A103" s="50" t="n">
        <v>70</v>
      </c>
      <c r="B103" s="40" t="inlineStr">
        <is>
          <t>img5.tiff</t>
        </is>
      </c>
      <c r="C103" s="50" t="n">
        <v>6</v>
      </c>
      <c r="D103" s="50" t="n">
        <v>4</v>
      </c>
      <c r="E103" s="50" t="n">
        <v>5</v>
      </c>
      <c r="F103" s="50" t="n">
        <v>4</v>
      </c>
      <c r="G103" s="50" t="n">
        <v>3</v>
      </c>
      <c r="H103" s="50" t="n">
        <v>2</v>
      </c>
      <c r="I103" s="50" t="inlineStr">
        <is>
          <t>Si</t>
        </is>
      </c>
      <c r="J103" s="50" t="n"/>
      <c r="K103" s="50" t="n"/>
      <c r="L103" s="50" t="b">
        <v>0</v>
      </c>
      <c r="M103" s="50" t="b">
        <v>1</v>
      </c>
      <c r="N103" s="50" t="b">
        <v>0</v>
      </c>
      <c r="O103" s="50" t="b">
        <v>0</v>
      </c>
      <c r="P103" s="50" t="b">
        <v>0</v>
      </c>
      <c r="Q103" s="50" t="b">
        <v>0</v>
      </c>
      <c r="R103" s="50" t="b">
        <v>1</v>
      </c>
      <c r="S103" s="50" t="b">
        <v>1</v>
      </c>
      <c r="T103" s="40" t="inlineStr">
        <is>
          <t>REVISAR</t>
        </is>
      </c>
      <c r="U103" s="58" t="inlineStr">
        <is>
          <t>numero_encuesta:?; grado:?; p2:?; p3:?; p4:?; p5:?; p6:?</t>
        </is>
      </c>
    </row>
    <row r="104" ht="17" customHeight="1">
      <c r="A104" s="50" t="n">
        <v>72</v>
      </c>
      <c r="B104" s="40" t="inlineStr">
        <is>
          <t>img6.tiff</t>
        </is>
      </c>
      <c r="C104" s="50" t="n">
        <v>7</v>
      </c>
      <c r="D104" s="50" t="n">
        <v>4</v>
      </c>
      <c r="E104" s="50" t="n">
        <v>3</v>
      </c>
      <c r="F104" s="50" t="n">
        <v>1</v>
      </c>
      <c r="G104" s="50" t="n">
        <v>2</v>
      </c>
      <c r="H104" s="50" t="n">
        <v>3</v>
      </c>
      <c r="I104" s="50" t="inlineStr">
        <is>
          <t>No</t>
        </is>
      </c>
      <c r="J104" s="50" t="n"/>
      <c r="K104" s="50" t="n"/>
      <c r="L104" s="50" t="b">
        <v>0</v>
      </c>
      <c r="M104" s="50" t="b">
        <v>0</v>
      </c>
      <c r="N104" s="50" t="b">
        <v>1</v>
      </c>
      <c r="O104" s="50" t="b">
        <v>0</v>
      </c>
      <c r="P104" s="50" t="b">
        <v>0</v>
      </c>
      <c r="Q104" s="50" t="b">
        <v>0</v>
      </c>
      <c r="R104" s="50" t="b">
        <v>1</v>
      </c>
      <c r="S104" s="50" t="b">
        <v>1</v>
      </c>
      <c r="T104" s="40" t="inlineStr">
        <is>
          <t>REVISAR</t>
        </is>
      </c>
      <c r="U104" s="58" t="inlineStr">
        <is>
          <t>numero_encuesta:?; grado:?; p2:?; p3:?; p4:?; p5:?; p6:?</t>
        </is>
      </c>
    </row>
    <row r="105" ht="17" customHeight="1">
      <c r="A105" s="50" t="n">
        <v>76</v>
      </c>
      <c r="B105" s="40" t="inlineStr">
        <is>
          <t>img7.tiff</t>
        </is>
      </c>
      <c r="C105" s="50" t="n">
        <v>6</v>
      </c>
      <c r="D105" s="50" t="n">
        <v>4</v>
      </c>
      <c r="E105" s="50" t="n">
        <v>4</v>
      </c>
      <c r="F105" s="50" t="n">
        <v>4</v>
      </c>
      <c r="G105" s="50" t="n">
        <v>4</v>
      </c>
      <c r="H105" s="50" t="n">
        <v>3</v>
      </c>
      <c r="I105" s="50" t="inlineStr">
        <is>
          <t>Si</t>
        </is>
      </c>
      <c r="J105" s="50" t="n"/>
      <c r="K105" s="50" t="n"/>
      <c r="L105" s="50" t="b">
        <v>1</v>
      </c>
      <c r="M105" s="50" t="b">
        <v>1</v>
      </c>
      <c r="N105" s="50" t="b">
        <v>1</v>
      </c>
      <c r="O105" s="50" t="b">
        <v>1</v>
      </c>
      <c r="P105" s="50" t="b">
        <v>1</v>
      </c>
      <c r="Q105" s="50" t="b">
        <v>1</v>
      </c>
      <c r="R105" s="50" t="b">
        <v>1</v>
      </c>
      <c r="S105" s="50" t="b">
        <v>1</v>
      </c>
      <c r="T105" s="40" t="inlineStr">
        <is>
          <t>REVISAR</t>
        </is>
      </c>
      <c r="U105" s="58" t="inlineStr">
        <is>
          <t>grado:?; p2:?; p3:?; p4:?; p5:?; p6:?</t>
        </is>
      </c>
    </row>
    <row r="106" ht="17" customHeight="1">
      <c r="A106" s="50" t="n">
        <v>81</v>
      </c>
      <c r="B106" s="40" t="inlineStr">
        <is>
          <t>img8.tiff</t>
        </is>
      </c>
      <c r="C106" s="50" t="n">
        <v>6</v>
      </c>
      <c r="D106" s="50" t="n">
        <v>4</v>
      </c>
      <c r="E106" s="50" t="n">
        <v>5</v>
      </c>
      <c r="F106" s="50" t="n">
        <v>2</v>
      </c>
      <c r="G106" s="50" t="n">
        <v>2</v>
      </c>
      <c r="H106" s="50" t="n">
        <v>5</v>
      </c>
      <c r="I106" s="50" t="inlineStr">
        <is>
          <t>Si</t>
        </is>
      </c>
      <c r="J106" s="50" t="n"/>
      <c r="K106" s="50" t="n"/>
      <c r="L106" s="50" t="b">
        <v>0</v>
      </c>
      <c r="M106" s="50" t="b">
        <v>1</v>
      </c>
      <c r="N106" s="50" t="b">
        <v>0</v>
      </c>
      <c r="O106" s="50" t="b">
        <v>0</v>
      </c>
      <c r="P106" s="50" t="b">
        <v>0</v>
      </c>
      <c r="Q106" s="50" t="b">
        <v>1</v>
      </c>
      <c r="R106" s="50" t="b">
        <v>1</v>
      </c>
      <c r="S106" s="50" t="b">
        <v>1</v>
      </c>
      <c r="T106" s="40" t="inlineStr">
        <is>
          <t>REVISAR</t>
        </is>
      </c>
      <c r="U106" s="58" t="inlineStr">
        <is>
          <t>numero_encuesta:?; grado:?; p2:?; p3:?; p4:?; p5:?; p6:?</t>
        </is>
      </c>
    </row>
    <row r="107" ht="17" customHeight="1">
      <c r="A107" s="50" t="n">
        <v>90</v>
      </c>
      <c r="B107" s="40" t="inlineStr">
        <is>
          <t>img9.tiff</t>
        </is>
      </c>
      <c r="C107" s="50" t="n">
        <v>9</v>
      </c>
      <c r="D107" s="50" t="n">
        <v>4</v>
      </c>
      <c r="E107" s="50" t="n">
        <v>4</v>
      </c>
      <c r="F107" s="50" t="n">
        <v>3</v>
      </c>
      <c r="G107" s="50" t="n">
        <v>3</v>
      </c>
      <c r="H107" s="50" t="n">
        <v>1</v>
      </c>
      <c r="I107" s="50" t="inlineStr">
        <is>
          <t>Si</t>
        </is>
      </c>
      <c r="J107" s="50" t="n"/>
      <c r="K107" s="50" t="n"/>
      <c r="L107" s="50" t="b">
        <v>1</v>
      </c>
      <c r="M107" s="50" t="b">
        <v>1</v>
      </c>
      <c r="N107" s="50" t="b">
        <v>1</v>
      </c>
      <c r="O107" s="50" t="b">
        <v>1</v>
      </c>
      <c r="P107" s="50" t="b">
        <v>1</v>
      </c>
      <c r="Q107" s="50" t="b">
        <v>1</v>
      </c>
      <c r="R107" s="50" t="b">
        <v>1</v>
      </c>
      <c r="S107" s="50" t="b">
        <v>1</v>
      </c>
      <c r="T107" s="40" t="inlineStr">
        <is>
          <t>REVISAR</t>
        </is>
      </c>
      <c r="U107" s="58" t="inlineStr">
        <is>
          <t>grado:?; p2:?; p3:?; p4:?; p5:?; p6:?</t>
        </is>
      </c>
    </row>
    <row r="108" ht="17" customHeight="1">
      <c r="A108" s="50" t="n">
        <v>73</v>
      </c>
      <c r="B108" s="40" t="inlineStr">
        <is>
          <t>imga.tiff</t>
        </is>
      </c>
      <c r="C108" s="50" t="n">
        <v>8</v>
      </c>
      <c r="D108" s="50" t="n">
        <v>2</v>
      </c>
      <c r="E108" s="50" t="n">
        <v>1</v>
      </c>
      <c r="F108" s="50" t="n">
        <v>3</v>
      </c>
      <c r="G108" s="50" t="n">
        <v>1</v>
      </c>
      <c r="H108" s="50" t="n">
        <v>3</v>
      </c>
      <c r="I108" s="50" t="inlineStr">
        <is>
          <t>Si</t>
        </is>
      </c>
      <c r="J108" s="50" t="n"/>
      <c r="K108" s="50" t="n"/>
      <c r="L108" s="50" t="b">
        <v>0</v>
      </c>
      <c r="M108" s="50" t="b">
        <v>0</v>
      </c>
      <c r="N108" s="50" t="b">
        <v>1</v>
      </c>
      <c r="O108" s="50" t="b">
        <v>0</v>
      </c>
      <c r="P108" s="50" t="b">
        <v>0</v>
      </c>
      <c r="Q108" s="50" t="b">
        <v>0</v>
      </c>
      <c r="R108" s="50" t="b">
        <v>1</v>
      </c>
      <c r="S108" s="50" t="b">
        <v>1</v>
      </c>
      <c r="T108" s="40" t="inlineStr">
        <is>
          <t>REVISAR</t>
        </is>
      </c>
      <c r="U108" s="58" t="inlineStr">
        <is>
          <t>numero_encuesta:?; grado:?; p2:?; p3:?; p4:?; p5:?; p6:?</t>
        </is>
      </c>
    </row>
  </sheetData>
  <mergeCells count="6">
    <mergeCell ref="J3:K3"/>
    <mergeCell ref="A3:C3"/>
    <mergeCell ref="R3:S3"/>
    <mergeCell ref="L3:Q3"/>
    <mergeCell ref="T3:U3"/>
    <mergeCell ref="D3:H3"/>
  </mergeCells>
  <conditionalFormatting sqref="L5:S108">
    <cfRule type="expression" priority="1" dxfId="1">
      <formula>L5=TRUE</formula>
    </cfRule>
    <cfRule type="expression" priority="2" dxfId="2">
      <formula>L5=FALSE</formula>
    </cfRule>
  </conditionalFormatting>
  <conditionalFormatting sqref="T5:T108">
    <cfRule type="expression" priority="3" dxfId="3">
      <formula>T5="ERROR_NUMERO"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2026-10-20T22:40:46Z</dcterms:created>
  <dcterms:modified xmlns:dcterms="http://purl.org/dc/terms/" xmlns:xsi="http://www.w3.org/2001/XMLSchema-instance" xsi:type="dcterms:W3CDTF">2026-10-20T22:40:46Z</dcterms:modified>
</cp:coreProperties>
</file>